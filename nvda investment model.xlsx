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avi6007\Downloads\"/>
    </mc:Choice>
  </mc:AlternateContent>
  <xr:revisionPtr revIDLastSave="0" documentId="13_ncr:1_{2C0BFE52-EB51-4022-A260-90C7D0569B56}" xr6:coauthVersionLast="47" xr6:coauthVersionMax="47" xr10:uidLastSave="{00000000-0000-0000-0000-000000000000}"/>
  <bookViews>
    <workbookView xWindow="-110" yWindow="-110" windowWidth="19420" windowHeight="11020" activeTab="1" xr2:uid="{D14C3227-01EC-47BD-AF9A-1A0A6B7E793C}"/>
  </bookViews>
  <sheets>
    <sheet name="Summary" sheetId="5" r:id="rId1"/>
    <sheet name="NVDA" sheetId="1" r:id="rId2"/>
    <sheet name="DCF" sheetId="4" r:id="rId3"/>
    <sheet name="DDM"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4" i="5" l="1"/>
  <c r="B23" i="5"/>
  <c r="B22" i="5"/>
  <c r="F19" i="5"/>
  <c r="F18" i="5"/>
  <c r="F17" i="5"/>
  <c r="F16" i="5"/>
  <c r="B18" i="5"/>
  <c r="B17" i="5"/>
  <c r="B16" i="5"/>
  <c r="B15" i="5"/>
  <c r="B14" i="5"/>
  <c r="B13" i="5"/>
  <c r="F12" i="5"/>
  <c r="F11" i="5"/>
  <c r="F10" i="5"/>
  <c r="F9" i="5"/>
  <c r="F8" i="5"/>
  <c r="F7" i="5"/>
  <c r="B9" i="5"/>
  <c r="B8" i="5"/>
  <c r="B7" i="5"/>
  <c r="B4" i="5"/>
  <c r="B7" i="3"/>
  <c r="B6" i="3"/>
  <c r="B4" i="3"/>
  <c r="P32" i="4"/>
  <c r="P31" i="4"/>
  <c r="P16" i="4"/>
  <c r="P15" i="4"/>
  <c r="P9" i="4"/>
  <c r="G7" i="4"/>
  <c r="G13" i="4" s="1"/>
  <c r="C12" i="4"/>
  <c r="C16" i="4" s="1"/>
  <c r="D12" i="4"/>
  <c r="D16" i="4" s="1"/>
  <c r="E12" i="4"/>
  <c r="E16" i="4" s="1"/>
  <c r="F12" i="4"/>
  <c r="F16" i="4" s="1"/>
  <c r="B12" i="4"/>
  <c r="B16" i="4" s="1"/>
  <c r="C10" i="4"/>
  <c r="D10" i="4"/>
  <c r="E10" i="4"/>
  <c r="F10" i="4"/>
  <c r="B10" i="4"/>
  <c r="D8" i="4"/>
  <c r="E8" i="4"/>
  <c r="F8" i="4"/>
  <c r="C8" i="4"/>
  <c r="D2" i="1" a="1"/>
  <c r="P12" i="4" l="1"/>
  <c r="G14" i="4"/>
  <c r="G15" i="4"/>
  <c r="H7" i="4"/>
  <c r="N7" i="4"/>
  <c r="G18" i="4" s="1"/>
  <c r="G9" i="4"/>
  <c r="G12" i="4" s="1"/>
  <c r="D2" i="1"/>
  <c r="C139" i="1"/>
  <c r="C283" i="1"/>
  <c r="C427" i="1"/>
  <c r="C571" i="1"/>
  <c r="C715" i="1"/>
  <c r="C859" i="1"/>
  <c r="C1003" i="1"/>
  <c r="C134" i="1"/>
  <c r="C291" i="1"/>
  <c r="C448" i="1"/>
  <c r="C605" i="1"/>
  <c r="C762" i="1"/>
  <c r="C920" i="1"/>
  <c r="C1072" i="1"/>
  <c r="C123" i="1"/>
  <c r="C280" i="1"/>
  <c r="C437" i="1"/>
  <c r="C6" i="1"/>
  <c r="C164" i="1"/>
  <c r="C321" i="1"/>
  <c r="C478" i="1"/>
  <c r="C60" i="1"/>
  <c r="C217" i="1"/>
  <c r="C374" i="1"/>
  <c r="C531" i="1"/>
  <c r="C688" i="1"/>
  <c r="C845" i="1"/>
  <c r="C1002" i="1"/>
  <c r="C1148" i="1"/>
  <c r="C1292" i="1"/>
  <c r="C1436" i="1"/>
  <c r="C1580" i="1"/>
  <c r="C140" i="1"/>
  <c r="C297" i="1"/>
  <c r="C454" i="1"/>
  <c r="C53" i="1"/>
  <c r="C325" i="1"/>
  <c r="C589" i="1"/>
  <c r="C102" i="1"/>
  <c r="C369" i="1"/>
  <c r="C622" i="1"/>
  <c r="C810" i="1"/>
  <c r="C999" i="1"/>
  <c r="C1167" i="1"/>
  <c r="C1324" i="1"/>
  <c r="C89" i="1"/>
  <c r="C408" i="1"/>
  <c r="C689" i="1"/>
  <c r="C896" i="1"/>
  <c r="C1094" i="1"/>
  <c r="C1266" i="1"/>
  <c r="C1438" i="1"/>
  <c r="C64" i="1"/>
  <c r="C311" i="1"/>
  <c r="C615" i="1"/>
  <c r="C14" i="1"/>
  <c r="C338" i="1"/>
  <c r="C635" i="1"/>
  <c r="C849" i="1"/>
  <c r="C1051" i="1"/>
  <c r="C1227" i="1"/>
  <c r="C1398" i="1"/>
  <c r="C1559" i="1"/>
  <c r="C232" i="1"/>
  <c r="C554" i="1"/>
  <c r="C782" i="1"/>
  <c r="C987" i="1"/>
  <c r="C288" i="1"/>
  <c r="C601" i="1"/>
  <c r="C817" i="1"/>
  <c r="C1022" i="1"/>
  <c r="C1201" i="1"/>
  <c r="C1372" i="1"/>
  <c r="C132" i="1"/>
  <c r="C456" i="1"/>
  <c r="C719" i="1"/>
  <c r="C925" i="1"/>
  <c r="C1119" i="1"/>
  <c r="C1290" i="1"/>
  <c r="C185" i="1"/>
  <c r="C755" i="1"/>
  <c r="C1095" i="1"/>
  <c r="C1354" i="1"/>
  <c r="C1565" i="1"/>
  <c r="C7" i="1"/>
  <c r="C151" i="1"/>
  <c r="C295" i="1"/>
  <c r="C439" i="1"/>
  <c r="C583" i="1"/>
  <c r="C727" i="1"/>
  <c r="C871" i="1"/>
  <c r="C1015" i="1"/>
  <c r="C147" i="1"/>
  <c r="C304" i="1"/>
  <c r="C461" i="1"/>
  <c r="C618" i="1"/>
  <c r="C776" i="1"/>
  <c r="C933" i="1"/>
  <c r="C1084" i="1"/>
  <c r="C136" i="1"/>
  <c r="C293" i="1"/>
  <c r="C450" i="1"/>
  <c r="C20" i="1"/>
  <c r="C177" i="1"/>
  <c r="C334" i="1"/>
  <c r="C491" i="1"/>
  <c r="C73" i="1"/>
  <c r="C230" i="1"/>
  <c r="C387" i="1"/>
  <c r="C544" i="1"/>
  <c r="C701" i="1"/>
  <c r="C858" i="1"/>
  <c r="C1016" i="1"/>
  <c r="C1160" i="1"/>
  <c r="C1304" i="1"/>
  <c r="C1448" i="1"/>
  <c r="C1592" i="1"/>
  <c r="C153" i="1"/>
  <c r="C310" i="1"/>
  <c r="C467" i="1"/>
  <c r="C77" i="1"/>
  <c r="C345" i="1"/>
  <c r="C604" i="1"/>
  <c r="C122" i="1"/>
  <c r="C393" i="1"/>
  <c r="C638" i="1"/>
  <c r="C826" i="1"/>
  <c r="C1014" i="1"/>
  <c r="C1180" i="1"/>
  <c r="C1337" i="1"/>
  <c r="C116" i="1"/>
  <c r="C442" i="1"/>
  <c r="C707" i="1"/>
  <c r="C913" i="1"/>
  <c r="C1109" i="1"/>
  <c r="C1281" i="1"/>
  <c r="C1451" i="1"/>
  <c r="C13" i="1"/>
  <c r="C337" i="1"/>
  <c r="C634" i="1"/>
  <c r="C40" i="1"/>
  <c r="C364" i="1"/>
  <c r="C656" i="1"/>
  <c r="C865" i="1"/>
  <c r="C1067" i="1"/>
  <c r="C1241" i="1"/>
  <c r="C1413" i="1"/>
  <c r="C1572" i="1"/>
  <c r="C261" i="1"/>
  <c r="C580" i="1"/>
  <c r="C798" i="1"/>
  <c r="C1005" i="1"/>
  <c r="C314" i="1"/>
  <c r="C620" i="1"/>
  <c r="C834" i="1"/>
  <c r="C1038" i="1"/>
  <c r="C1215" i="1"/>
  <c r="C1386" i="1"/>
  <c r="C158" i="1"/>
  <c r="C484" i="1"/>
  <c r="C735" i="1"/>
  <c r="C941" i="1"/>
  <c r="C1133" i="1"/>
  <c r="C1305" i="1"/>
  <c r="C245" i="1"/>
  <c r="C788" i="1"/>
  <c r="C1118" i="1"/>
  <c r="C1374" i="1"/>
  <c r="C1579" i="1"/>
  <c r="C19" i="1"/>
  <c r="C163" i="1"/>
  <c r="C307" i="1"/>
  <c r="C451" i="1"/>
  <c r="C595" i="1"/>
  <c r="C739" i="1"/>
  <c r="C883" i="1"/>
  <c r="C3" i="1"/>
  <c r="C160" i="1"/>
  <c r="C317" i="1"/>
  <c r="C474" i="1"/>
  <c r="C632" i="1"/>
  <c r="C789" i="1"/>
  <c r="C946" i="1"/>
  <c r="C1096" i="1"/>
  <c r="C149" i="1"/>
  <c r="C306" i="1"/>
  <c r="C464" i="1"/>
  <c r="C33" i="1"/>
  <c r="C190" i="1"/>
  <c r="C347" i="1"/>
  <c r="C504" i="1"/>
  <c r="C86" i="1"/>
  <c r="C243" i="1"/>
  <c r="C400" i="1"/>
  <c r="C557" i="1"/>
  <c r="C714" i="1"/>
  <c r="C872" i="1"/>
  <c r="C1028" i="1"/>
  <c r="C1172" i="1"/>
  <c r="C1316" i="1"/>
  <c r="C1460" i="1"/>
  <c r="C9" i="1"/>
  <c r="C166" i="1"/>
  <c r="C323" i="1"/>
  <c r="C480" i="1"/>
  <c r="C101" i="1"/>
  <c r="C368" i="1"/>
  <c r="C621" i="1"/>
  <c r="C145" i="1"/>
  <c r="C417" i="1"/>
  <c r="C653" i="1"/>
  <c r="C842" i="1"/>
  <c r="C1030" i="1"/>
  <c r="C1193" i="1"/>
  <c r="C1350" i="1"/>
  <c r="C142" i="1"/>
  <c r="C468" i="1"/>
  <c r="C724" i="1"/>
  <c r="C929" i="1"/>
  <c r="C1123" i="1"/>
  <c r="C1295" i="1"/>
  <c r="C1464" i="1"/>
  <c r="C39" i="1"/>
  <c r="C363" i="1"/>
  <c r="C654" i="1"/>
  <c r="C66" i="1"/>
  <c r="C390" i="1"/>
  <c r="C674" i="1"/>
  <c r="C882" i="1"/>
  <c r="C1082" i="1"/>
  <c r="C1255" i="1"/>
  <c r="C1427" i="1"/>
  <c r="C1585" i="1"/>
  <c r="C287" i="1"/>
  <c r="C600" i="1"/>
  <c r="C816" i="1"/>
  <c r="C17" i="1"/>
  <c r="C340" i="1"/>
  <c r="C640" i="1"/>
  <c r="C851" i="1"/>
  <c r="C1054" i="1"/>
  <c r="C1229" i="1"/>
  <c r="C1401" i="1"/>
  <c r="C184" i="1"/>
  <c r="C510" i="1"/>
  <c r="C753" i="1"/>
  <c r="C958" i="1"/>
  <c r="C1147" i="1"/>
  <c r="C1319" i="1"/>
  <c r="C298" i="1"/>
  <c r="C822" i="1"/>
  <c r="C1139" i="1"/>
  <c r="C1396" i="1"/>
  <c r="C1594" i="1"/>
  <c r="C31" i="1"/>
  <c r="C175" i="1"/>
  <c r="C319" i="1"/>
  <c r="C463" i="1"/>
  <c r="C607" i="1"/>
  <c r="C751" i="1"/>
  <c r="C895" i="1"/>
  <c r="C16" i="1"/>
  <c r="C173" i="1"/>
  <c r="C330" i="1"/>
  <c r="C488" i="1"/>
  <c r="C645" i="1"/>
  <c r="C802" i="1"/>
  <c r="C959" i="1"/>
  <c r="C5" i="1"/>
  <c r="C162" i="1"/>
  <c r="C320" i="1"/>
  <c r="C477" i="1"/>
  <c r="C46" i="1"/>
  <c r="C203" i="1"/>
  <c r="C360" i="1"/>
  <c r="C517" i="1"/>
  <c r="C99" i="1"/>
  <c r="C256" i="1"/>
  <c r="C413" i="1"/>
  <c r="C570" i="1"/>
  <c r="C728" i="1"/>
  <c r="C885" i="1"/>
  <c r="C1040" i="1"/>
  <c r="C1184" i="1"/>
  <c r="C1328" i="1"/>
  <c r="C1472" i="1"/>
  <c r="C22" i="1"/>
  <c r="C179" i="1"/>
  <c r="C336" i="1"/>
  <c r="C493" i="1"/>
  <c r="C120" i="1"/>
  <c r="C392" i="1"/>
  <c r="C637" i="1"/>
  <c r="C169" i="1"/>
  <c r="C436" i="1"/>
  <c r="C669" i="1"/>
  <c r="C857" i="1"/>
  <c r="C1044" i="1"/>
  <c r="C1206" i="1"/>
  <c r="C1363" i="1"/>
  <c r="C170" i="1"/>
  <c r="C494" i="1"/>
  <c r="C742" i="1"/>
  <c r="C947" i="1"/>
  <c r="C1138" i="1"/>
  <c r="C1309" i="1"/>
  <c r="C1477" i="1"/>
  <c r="C65" i="1"/>
  <c r="C389" i="1"/>
  <c r="C673" i="1"/>
  <c r="C93" i="1"/>
  <c r="C419" i="1"/>
  <c r="C693" i="1"/>
  <c r="C900" i="1"/>
  <c r="C1098" i="1"/>
  <c r="C1270" i="1"/>
  <c r="C1441" i="1"/>
  <c r="C1598" i="1"/>
  <c r="C313" i="1"/>
  <c r="C617" i="1"/>
  <c r="C833" i="1"/>
  <c r="C44" i="1"/>
  <c r="C366" i="1"/>
  <c r="C659" i="1"/>
  <c r="C868" i="1"/>
  <c r="C1069" i="1"/>
  <c r="C1243" i="1"/>
  <c r="C1415" i="1"/>
  <c r="C214" i="1"/>
  <c r="C537" i="1"/>
  <c r="C770" i="1"/>
  <c r="C975" i="1"/>
  <c r="C1162" i="1"/>
  <c r="C1333" i="1"/>
  <c r="C352" i="1"/>
  <c r="C852" i="1"/>
  <c r="C1161" i="1"/>
  <c r="C1418" i="1"/>
  <c r="C273" i="1"/>
  <c r="C43" i="1"/>
  <c r="C235" i="1"/>
  <c r="C475" i="1"/>
  <c r="C667" i="1"/>
  <c r="C907" i="1"/>
  <c r="C82" i="1"/>
  <c r="C344" i="1"/>
  <c r="C553" i="1"/>
  <c r="C815" i="1"/>
  <c r="C1024" i="1"/>
  <c r="C176" i="1"/>
  <c r="C385" i="1"/>
  <c r="C59" i="1"/>
  <c r="C268" i="1"/>
  <c r="C530" i="1"/>
  <c r="C165" i="1"/>
  <c r="C426" i="1"/>
  <c r="C636" i="1"/>
  <c r="C898" i="1"/>
  <c r="C1100" i="1"/>
  <c r="C1340" i="1"/>
  <c r="C1532" i="1"/>
  <c r="C192" i="1"/>
  <c r="C401" i="1"/>
  <c r="C144" i="1"/>
  <c r="C502" i="1"/>
  <c r="C193" i="1"/>
  <c r="C550" i="1"/>
  <c r="C874" i="1"/>
  <c r="C1115" i="1"/>
  <c r="C1377" i="1"/>
  <c r="C303" i="1"/>
  <c r="C758" i="1"/>
  <c r="C1032" i="1"/>
  <c r="C1323" i="1"/>
  <c r="C1542" i="1"/>
  <c r="C418" i="1"/>
  <c r="C760" i="1"/>
  <c r="C445" i="1"/>
  <c r="C781" i="1"/>
  <c r="C1113" i="1"/>
  <c r="C1342" i="1"/>
  <c r="C15" i="1"/>
  <c r="C446" i="1"/>
  <c r="C850" i="1"/>
  <c r="C181" i="1"/>
  <c r="C677" i="1"/>
  <c r="C954" i="1"/>
  <c r="C1258" i="1"/>
  <c r="C25" i="1"/>
  <c r="C563" i="1"/>
  <c r="C855" i="1"/>
  <c r="C1176" i="1"/>
  <c r="C1405" i="1"/>
  <c r="C879" i="1"/>
  <c r="C1267" i="1"/>
  <c r="C1345" i="1"/>
  <c r="C135" i="1"/>
  <c r="C721" i="1"/>
  <c r="C1075" i="1"/>
  <c r="C1334" i="1"/>
  <c r="C55" i="1"/>
  <c r="C247" i="1"/>
  <c r="C487" i="1"/>
  <c r="C679" i="1"/>
  <c r="C919" i="1"/>
  <c r="C95" i="1"/>
  <c r="C357" i="1"/>
  <c r="C566" i="1"/>
  <c r="C828" i="1"/>
  <c r="C1036" i="1"/>
  <c r="C189" i="1"/>
  <c r="C398" i="1"/>
  <c r="C72" i="1"/>
  <c r="C281" i="1"/>
  <c r="C543" i="1"/>
  <c r="C178" i="1"/>
  <c r="C440" i="1"/>
  <c r="C649" i="1"/>
  <c r="C911" i="1"/>
  <c r="C1112" i="1"/>
  <c r="C1352" i="1"/>
  <c r="C1544" i="1"/>
  <c r="C205" i="1"/>
  <c r="C414" i="1"/>
  <c r="C168" i="1"/>
  <c r="C525" i="1"/>
  <c r="C212" i="1"/>
  <c r="C574" i="1"/>
  <c r="C889" i="1"/>
  <c r="C1128" i="1"/>
  <c r="C1390" i="1"/>
  <c r="C329" i="1"/>
  <c r="C774" i="1"/>
  <c r="C1047" i="1"/>
  <c r="C1338" i="1"/>
  <c r="C1555" i="1"/>
  <c r="C444" i="1"/>
  <c r="C778" i="1"/>
  <c r="C471" i="1"/>
  <c r="C797" i="1"/>
  <c r="C1127" i="1"/>
  <c r="C1356" i="1"/>
  <c r="C41" i="1"/>
  <c r="C472" i="1"/>
  <c r="C866" i="1"/>
  <c r="C207" i="1"/>
  <c r="C695" i="1"/>
  <c r="C971" i="1"/>
  <c r="C1273" i="1"/>
  <c r="C51" i="1"/>
  <c r="C587" i="1"/>
  <c r="C67" i="1"/>
  <c r="C259" i="1"/>
  <c r="C499" i="1"/>
  <c r="C691" i="1"/>
  <c r="C931" i="1"/>
  <c r="C108" i="1"/>
  <c r="C370" i="1"/>
  <c r="C579" i="1"/>
  <c r="C841" i="1"/>
  <c r="C1048" i="1"/>
  <c r="C202" i="1"/>
  <c r="C411" i="1"/>
  <c r="C85" i="1"/>
  <c r="C294" i="1"/>
  <c r="C556" i="1"/>
  <c r="C191" i="1"/>
  <c r="C453" i="1"/>
  <c r="C662" i="1"/>
  <c r="C924" i="1"/>
  <c r="C1124" i="1"/>
  <c r="C1364" i="1"/>
  <c r="C1556" i="1"/>
  <c r="C218" i="1"/>
  <c r="C428" i="1"/>
  <c r="C188" i="1"/>
  <c r="C549" i="1"/>
  <c r="C236" i="1"/>
  <c r="C590" i="1"/>
  <c r="C904" i="1"/>
  <c r="C1141" i="1"/>
  <c r="C1403" i="1"/>
  <c r="C356" i="1"/>
  <c r="C792" i="1"/>
  <c r="C1063" i="1"/>
  <c r="C1353" i="1"/>
  <c r="C10" i="1"/>
  <c r="C470" i="1"/>
  <c r="C796" i="1"/>
  <c r="C497" i="1"/>
  <c r="C814" i="1"/>
  <c r="C1142" i="1"/>
  <c r="C1370" i="1"/>
  <c r="C68" i="1"/>
  <c r="C498" i="1"/>
  <c r="C884" i="1"/>
  <c r="C233" i="1"/>
  <c r="C713" i="1"/>
  <c r="C988" i="1"/>
  <c r="C1287" i="1"/>
  <c r="C80" i="1"/>
  <c r="C608" i="1"/>
  <c r="C890" i="1"/>
  <c r="C1204" i="1"/>
  <c r="C81" i="1"/>
  <c r="C940" i="1"/>
  <c r="C1310" i="1"/>
  <c r="C928" i="1"/>
  <c r="C246" i="1"/>
  <c r="C790" i="1"/>
  <c r="C1120" i="1"/>
  <c r="C1378" i="1"/>
  <c r="C79" i="1"/>
  <c r="C271" i="1"/>
  <c r="C511" i="1"/>
  <c r="C703" i="1"/>
  <c r="C943" i="1"/>
  <c r="C121" i="1"/>
  <c r="C383" i="1"/>
  <c r="C592" i="1"/>
  <c r="C854" i="1"/>
  <c r="C1060" i="1"/>
  <c r="C215" i="1"/>
  <c r="C424" i="1"/>
  <c r="C98" i="1"/>
  <c r="C308" i="1"/>
  <c r="C569" i="1"/>
  <c r="C204" i="1"/>
  <c r="C466" i="1"/>
  <c r="C675" i="1"/>
  <c r="C937" i="1"/>
  <c r="C1136" i="1"/>
  <c r="C1376" i="1"/>
  <c r="C1568" i="1"/>
  <c r="C231" i="1"/>
  <c r="C441" i="1"/>
  <c r="C210" i="1"/>
  <c r="C573" i="1"/>
  <c r="C260" i="1"/>
  <c r="C606" i="1"/>
  <c r="C921" i="1"/>
  <c r="C1154" i="1"/>
  <c r="C1416" i="1"/>
  <c r="C382" i="1"/>
  <c r="C809" i="1"/>
  <c r="C1079" i="1"/>
  <c r="C1367" i="1"/>
  <c r="C38" i="1"/>
  <c r="C496" i="1"/>
  <c r="C813" i="1"/>
  <c r="C524" i="1"/>
  <c r="C831" i="1"/>
  <c r="C1156" i="1"/>
  <c r="C1384" i="1"/>
  <c r="C94" i="1"/>
  <c r="C528" i="1"/>
  <c r="C901" i="1"/>
  <c r="C262" i="1"/>
  <c r="C731" i="1"/>
  <c r="C1006" i="1"/>
  <c r="C1301" i="1"/>
  <c r="C106" i="1"/>
  <c r="C626" i="1"/>
  <c r="C908" i="1"/>
  <c r="C1218" i="1"/>
  <c r="C133" i="1"/>
  <c r="C966" i="1"/>
  <c r="C1332" i="1"/>
  <c r="C1153" i="1"/>
  <c r="C299" i="1"/>
  <c r="C824" i="1"/>
  <c r="C1140" i="1"/>
  <c r="C1397" i="1"/>
  <c r="C1595" i="1"/>
  <c r="C161" i="1"/>
  <c r="C1239" i="1"/>
  <c r="C248" i="1"/>
  <c r="C791" i="1"/>
  <c r="C1121" i="1"/>
  <c r="C1537" i="1"/>
  <c r="C1588" i="1"/>
  <c r="C1240" i="1"/>
  <c r="C576" i="1"/>
  <c r="C977" i="1"/>
  <c r="C1251" i="1"/>
  <c r="C1491" i="1"/>
  <c r="C1107" i="1"/>
  <c r="C1587" i="1"/>
  <c r="C1428" i="1"/>
  <c r="C1134" i="1"/>
  <c r="C585" i="1"/>
  <c r="C978" i="1"/>
  <c r="C1253" i="1"/>
  <c r="C1492" i="1"/>
  <c r="C264" i="1"/>
  <c r="C803" i="1"/>
  <c r="C1126" i="1"/>
  <c r="C103" i="1"/>
  <c r="C343" i="1"/>
  <c r="C535" i="1"/>
  <c r="C775" i="1"/>
  <c r="C967" i="1"/>
  <c r="C91" i="1"/>
  <c r="C403" i="1"/>
  <c r="C811" i="1"/>
  <c r="C200" i="1"/>
  <c r="C514" i="1"/>
  <c r="C880" i="1"/>
  <c r="C84" i="1"/>
  <c r="C503" i="1"/>
  <c r="C229" i="1"/>
  <c r="C21" i="1"/>
  <c r="C335" i="1"/>
  <c r="C754" i="1"/>
  <c r="C1064" i="1"/>
  <c r="C1400" i="1"/>
  <c r="C100" i="1"/>
  <c r="C519" i="1"/>
  <c r="C434" i="1"/>
  <c r="C302" i="1"/>
  <c r="C764" i="1"/>
  <c r="C1233" i="1"/>
  <c r="C222" i="1"/>
  <c r="C844" i="1"/>
  <c r="C1224" i="1"/>
  <c r="C118" i="1"/>
  <c r="C709" i="1"/>
  <c r="C578" i="1"/>
  <c r="C1004" i="1"/>
  <c r="C1467" i="1"/>
  <c r="C365" i="1"/>
  <c r="C935" i="1"/>
  <c r="C533" i="1"/>
  <c r="C1101" i="1"/>
  <c r="C1443" i="1"/>
  <c r="C663" i="1"/>
  <c r="C1057" i="1"/>
  <c r="C1391" i="1"/>
  <c r="C1025" i="1"/>
  <c r="C1502" i="1"/>
  <c r="C83" i="1"/>
  <c r="C881" i="1"/>
  <c r="C1249" i="1"/>
  <c r="C1536" i="1"/>
  <c r="C1522" i="1"/>
  <c r="C870" i="1"/>
  <c r="C195" i="1"/>
  <c r="C825" i="1"/>
  <c r="C1164" i="1"/>
  <c r="C220" i="1"/>
  <c r="C1175" i="1"/>
  <c r="C197" i="1"/>
  <c r="C794" i="1"/>
  <c r="C1145" i="1"/>
  <c r="C1421" i="1"/>
  <c r="C805" i="1"/>
  <c r="C1526" i="1"/>
  <c r="C1279" i="1"/>
  <c r="C1326" i="1"/>
  <c r="C660" i="1"/>
  <c r="C115" i="1"/>
  <c r="C415" i="1"/>
  <c r="C823" i="1"/>
  <c r="C213" i="1"/>
  <c r="C527" i="1"/>
  <c r="C893" i="1"/>
  <c r="C97" i="1"/>
  <c r="C516" i="1"/>
  <c r="C242" i="1"/>
  <c r="C34" i="1"/>
  <c r="C348" i="1"/>
  <c r="C767" i="1"/>
  <c r="C1076" i="1"/>
  <c r="C1412" i="1"/>
  <c r="C113" i="1"/>
  <c r="C532" i="1"/>
  <c r="C458" i="1"/>
  <c r="C326" i="1"/>
  <c r="C779" i="1"/>
  <c r="C1246" i="1"/>
  <c r="C249" i="1"/>
  <c r="C862" i="1"/>
  <c r="C1238" i="1"/>
  <c r="C146" i="1"/>
  <c r="C726" i="1"/>
  <c r="C599" i="1"/>
  <c r="C1020" i="1"/>
  <c r="C1480" i="1"/>
  <c r="C394" i="1"/>
  <c r="C953" i="1"/>
  <c r="C560" i="1"/>
  <c r="C1116" i="1"/>
  <c r="C1456" i="1"/>
  <c r="C681" i="1"/>
  <c r="C1074" i="1"/>
  <c r="C23" i="1"/>
  <c r="C1049" i="1"/>
  <c r="C1518" i="1"/>
  <c r="C194" i="1"/>
  <c r="C912" i="1"/>
  <c r="C1269" i="1"/>
  <c r="C1551" i="1"/>
  <c r="C1552" i="1"/>
  <c r="C1089" i="1"/>
  <c r="C300" i="1"/>
  <c r="C856" i="1"/>
  <c r="C1186" i="1"/>
  <c r="C539" i="1"/>
  <c r="C1303" i="1"/>
  <c r="C250" i="1"/>
  <c r="C829" i="1"/>
  <c r="C1165" i="1"/>
  <c r="C1440" i="1"/>
  <c r="C956" i="1"/>
  <c r="C1558" i="1"/>
  <c r="C1560" i="1"/>
  <c r="C28" i="1"/>
  <c r="C696" i="1"/>
  <c r="C127" i="1"/>
  <c r="C523" i="1"/>
  <c r="C835" i="1"/>
  <c r="C226" i="1"/>
  <c r="C540" i="1"/>
  <c r="C906" i="1"/>
  <c r="C110" i="1"/>
  <c r="C529" i="1"/>
  <c r="C255" i="1"/>
  <c r="C47" i="1"/>
  <c r="C361" i="1"/>
  <c r="C780" i="1"/>
  <c r="C1088" i="1"/>
  <c r="C1424" i="1"/>
  <c r="C126" i="1"/>
  <c r="C545" i="1"/>
  <c r="C482" i="1"/>
  <c r="C350" i="1"/>
  <c r="C795" i="1"/>
  <c r="C1259" i="1"/>
  <c r="C275" i="1"/>
  <c r="C878" i="1"/>
  <c r="C1252" i="1"/>
  <c r="C172" i="1"/>
  <c r="C744" i="1"/>
  <c r="C616" i="1"/>
  <c r="C1035" i="1"/>
  <c r="C1493" i="1"/>
  <c r="C420" i="1"/>
  <c r="C970" i="1"/>
  <c r="C582" i="1"/>
  <c r="C1130" i="1"/>
  <c r="C1469" i="1"/>
  <c r="C702" i="1"/>
  <c r="C1090" i="1"/>
  <c r="C405" i="1"/>
  <c r="C1071" i="1"/>
  <c r="C1535" i="1"/>
  <c r="C353" i="1"/>
  <c r="C942" i="1"/>
  <c r="C1291" i="1"/>
  <c r="C1566" i="1"/>
  <c r="C1582" i="1"/>
  <c r="C1389" i="1"/>
  <c r="C354" i="1"/>
  <c r="C887" i="1"/>
  <c r="C1228" i="1"/>
  <c r="C665" i="1"/>
  <c r="C1447" i="1"/>
  <c r="C305" i="1"/>
  <c r="C860" i="1"/>
  <c r="C1188" i="1"/>
  <c r="C1458" i="1"/>
  <c r="C187" i="1"/>
  <c r="C547" i="1"/>
  <c r="C847" i="1"/>
  <c r="C239" i="1"/>
  <c r="C658" i="1"/>
  <c r="C972" i="1"/>
  <c r="C228" i="1"/>
  <c r="C542" i="1"/>
  <c r="C373" i="1"/>
  <c r="C112" i="1"/>
  <c r="C479" i="1"/>
  <c r="C793" i="1"/>
  <c r="C1196" i="1"/>
  <c r="C1484" i="1"/>
  <c r="C244" i="1"/>
  <c r="C558" i="1"/>
  <c r="C652" i="1"/>
  <c r="C459" i="1"/>
  <c r="C936" i="1"/>
  <c r="C1272" i="1"/>
  <c r="C520" i="1"/>
  <c r="C964" i="1"/>
  <c r="C1381" i="1"/>
  <c r="C198" i="1"/>
  <c r="C119" i="1"/>
  <c r="C711" i="1"/>
  <c r="C1170" i="1"/>
  <c r="C1506" i="1"/>
  <c r="C639" i="1"/>
  <c r="C70" i="1"/>
  <c r="C748" i="1"/>
  <c r="C1144" i="1"/>
  <c r="C240" i="1"/>
  <c r="C786" i="1"/>
  <c r="C1105" i="1"/>
  <c r="C457" i="1"/>
  <c r="C1182" i="1"/>
  <c r="C1550" i="1"/>
  <c r="C406" i="1"/>
  <c r="C973" i="1"/>
  <c r="C1312" i="1"/>
  <c r="C1581" i="1"/>
  <c r="C591" i="1"/>
  <c r="C1528" i="1"/>
  <c r="C407" i="1"/>
  <c r="C914" i="1"/>
  <c r="C1250" i="1"/>
  <c r="C807" i="1"/>
  <c r="C1561" i="1"/>
  <c r="C358" i="1"/>
  <c r="C888" i="1"/>
  <c r="C1209" i="1"/>
  <c r="C1475" i="1"/>
  <c r="C199" i="1"/>
  <c r="C559" i="1"/>
  <c r="C955" i="1"/>
  <c r="C252" i="1"/>
  <c r="C671" i="1"/>
  <c r="C985" i="1"/>
  <c r="C241" i="1"/>
  <c r="C555" i="1"/>
  <c r="C386" i="1"/>
  <c r="C125" i="1"/>
  <c r="C492" i="1"/>
  <c r="C806" i="1"/>
  <c r="C1208" i="1"/>
  <c r="C1496" i="1"/>
  <c r="C257" i="1"/>
  <c r="C572" i="1"/>
  <c r="C668" i="1"/>
  <c r="C483" i="1"/>
  <c r="C952" i="1"/>
  <c r="C1285" i="1"/>
  <c r="C546" i="1"/>
  <c r="C981" i="1"/>
  <c r="C1395" i="1"/>
  <c r="C225" i="1"/>
  <c r="C148" i="1"/>
  <c r="C729" i="1"/>
  <c r="C1185" i="1"/>
  <c r="C1519" i="1"/>
  <c r="C657" i="1"/>
  <c r="C96" i="1"/>
  <c r="C766" i="1"/>
  <c r="C1158" i="1"/>
  <c r="C266" i="1"/>
  <c r="C804" i="1"/>
  <c r="C1190" i="1"/>
  <c r="C512" i="1"/>
  <c r="C1203" i="1"/>
  <c r="C274" i="1"/>
  <c r="C460" i="1"/>
  <c r="C1000" i="1"/>
  <c r="C1355" i="1"/>
  <c r="C1207" i="1"/>
  <c r="C705" i="1"/>
  <c r="C117" i="1"/>
  <c r="C462" i="1"/>
  <c r="C944" i="1"/>
  <c r="C1293" i="1"/>
  <c r="C927" i="1"/>
  <c r="C171" i="1"/>
  <c r="C410" i="1"/>
  <c r="C915" i="1"/>
  <c r="C1230" i="1"/>
  <c r="C1507" i="1"/>
  <c r="C1192" i="1"/>
  <c r="C380" i="1"/>
  <c r="C1065" i="1"/>
  <c r="C208" i="1"/>
  <c r="C801" i="1"/>
  <c r="C1146" i="1"/>
  <c r="C1422" i="1"/>
  <c r="C105" i="1"/>
  <c r="C734" i="1"/>
  <c r="C1106" i="1"/>
  <c r="C1383" i="1"/>
  <c r="C1586" i="1"/>
  <c r="C627" i="1"/>
  <c r="C1083" i="1"/>
  <c r="C1541" i="1"/>
  <c r="C1260" i="1"/>
  <c r="C381" i="1"/>
  <c r="C990" i="1"/>
  <c r="C1545" i="1"/>
  <c r="C930" i="1"/>
  <c r="C1449" i="1"/>
  <c r="C1452" i="1"/>
  <c r="C1242" i="1"/>
  <c r="C603" i="1"/>
  <c r="C1045" i="1"/>
  <c r="C1591" i="1"/>
  <c r="C818" i="1"/>
  <c r="C1411" i="1"/>
  <c r="C1307" i="1"/>
  <c r="C1068" i="1"/>
  <c r="C211" i="1"/>
  <c r="C619" i="1"/>
  <c r="C223" i="1"/>
  <c r="C979" i="1"/>
  <c r="C435" i="1"/>
  <c r="C32" i="1"/>
  <c r="C581" i="1"/>
  <c r="C8" i="1"/>
  <c r="C610" i="1"/>
  <c r="C1244" i="1"/>
  <c r="C270" i="1"/>
  <c r="C301" i="1"/>
  <c r="C700" i="1"/>
  <c r="C1311" i="1"/>
  <c r="C827" i="1"/>
  <c r="C1516" i="1"/>
  <c r="C227" i="1"/>
  <c r="C1199" i="1"/>
  <c r="C206" i="1"/>
  <c r="C421" i="1"/>
  <c r="C1187" i="1"/>
  <c r="C644" i="1"/>
  <c r="C1347" i="1"/>
  <c r="C1289" i="1"/>
  <c r="C513" i="1"/>
  <c r="C1205" i="1"/>
  <c r="C1399" i="1"/>
  <c r="C903" i="1"/>
  <c r="C757" i="1"/>
  <c r="C1489" i="1"/>
  <c r="C1066" i="1"/>
  <c r="C945" i="1"/>
  <c r="C1380" i="1"/>
  <c r="C1300" i="1"/>
  <c r="C869" i="1"/>
  <c r="C104" i="1"/>
  <c r="C861" i="1"/>
  <c r="C1211" i="1"/>
  <c r="C1509" i="1"/>
  <c r="C429" i="1"/>
  <c r="C949" i="1"/>
  <c r="C1277" i="1"/>
  <c r="C1525" i="1"/>
  <c r="C485" i="1"/>
  <c r="C1012" i="1"/>
  <c r="C1511" i="1"/>
  <c r="C1322" i="1"/>
  <c r="C489" i="1"/>
  <c r="C1132" i="1"/>
  <c r="C384" i="1"/>
  <c r="C1177" i="1"/>
  <c r="C508" i="1"/>
  <c r="C1093" i="1"/>
  <c r="C602" i="1"/>
  <c r="C1159" i="1"/>
  <c r="C1070" i="1"/>
  <c r="C289" i="1"/>
  <c r="C1564" i="1"/>
  <c r="C1514" i="1"/>
  <c r="C131" i="1"/>
  <c r="C994" i="1"/>
  <c r="C76" i="1"/>
  <c r="C909" i="1"/>
  <c r="C736" i="1"/>
  <c r="C1512" i="1"/>
  <c r="C331" i="1"/>
  <c r="C991" i="1"/>
  <c r="C501" i="1"/>
  <c r="C45" i="1"/>
  <c r="C111" i="1"/>
  <c r="C138" i="1"/>
  <c r="C623" i="1"/>
  <c r="C1256" i="1"/>
  <c r="C284" i="1"/>
  <c r="C416" i="1"/>
  <c r="C717" i="1"/>
  <c r="C1429" i="1"/>
  <c r="C997" i="1"/>
  <c r="C1529" i="1"/>
  <c r="C253" i="1"/>
  <c r="C1213" i="1"/>
  <c r="C339" i="1"/>
  <c r="C447" i="1"/>
  <c r="C1315" i="1"/>
  <c r="C821" i="1"/>
  <c r="C1361" i="1"/>
  <c r="C1435" i="1"/>
  <c r="C565" i="1"/>
  <c r="C1226" i="1"/>
  <c r="C1439" i="1"/>
  <c r="C1043" i="1"/>
  <c r="C974" i="1"/>
  <c r="C1567" i="1"/>
  <c r="C1432" i="1"/>
  <c r="C1007" i="1"/>
  <c r="C1402" i="1"/>
  <c r="C1343" i="1"/>
  <c r="C1013" i="1"/>
  <c r="C156" i="1"/>
  <c r="C891" i="1"/>
  <c r="C1231" i="1"/>
  <c r="C1524" i="1"/>
  <c r="C481" i="1"/>
  <c r="C980" i="1"/>
  <c r="C1297" i="1"/>
  <c r="C1540" i="1"/>
  <c r="C538" i="1"/>
  <c r="C1037" i="1"/>
  <c r="C1573" i="1"/>
  <c r="C1366" i="1"/>
  <c r="C541" i="1"/>
  <c r="C1197" i="1"/>
  <c r="C443" i="1"/>
  <c r="C1263" i="1"/>
  <c r="C750" i="1"/>
  <c r="C1223" i="1"/>
  <c r="C1135" i="1"/>
  <c r="C1414" i="1"/>
  <c r="C1331" i="1"/>
  <c r="C342" i="1"/>
  <c r="C718" i="1"/>
  <c r="C399" i="1"/>
  <c r="C159" i="1"/>
  <c r="C355" i="1"/>
  <c r="C29" i="1"/>
  <c r="C684" i="1"/>
  <c r="C58" i="1"/>
  <c r="C124" i="1"/>
  <c r="C152" i="1"/>
  <c r="C741" i="1"/>
  <c r="C1268" i="1"/>
  <c r="C349" i="1"/>
  <c r="C683" i="1"/>
  <c r="C732" i="1"/>
  <c r="C4" i="1"/>
  <c r="C1017" i="1"/>
  <c r="C92" i="1"/>
  <c r="C286" i="1"/>
  <c r="C1284" i="1"/>
  <c r="C676" i="1"/>
  <c r="C473" i="1"/>
  <c r="C1330" i="1"/>
  <c r="C838" i="1"/>
  <c r="C1375" i="1"/>
  <c r="C1453" i="1"/>
  <c r="C611" i="1"/>
  <c r="C1419" i="1"/>
  <c r="C1474" i="1"/>
  <c r="C1221" i="1"/>
  <c r="C1001" i="1"/>
  <c r="C1596" i="1"/>
  <c r="C27" i="1"/>
  <c r="C1031" i="1"/>
  <c r="C1523" i="1"/>
  <c r="C1385" i="1"/>
  <c r="C1131" i="1"/>
  <c r="C263" i="1"/>
  <c r="C922" i="1"/>
  <c r="C1275" i="1"/>
  <c r="C1539" i="1"/>
  <c r="C536" i="1"/>
  <c r="C1010" i="1"/>
  <c r="C1320" i="1"/>
  <c r="C1557" i="1"/>
  <c r="C588" i="1"/>
  <c r="C1129" i="1"/>
  <c r="C1601" i="1"/>
  <c r="C1408" i="1"/>
  <c r="C593" i="1"/>
  <c r="C1261" i="1"/>
  <c r="C495" i="1"/>
  <c r="C1283" i="1"/>
  <c r="C932" i="1"/>
  <c r="C1351" i="1"/>
  <c r="C1393" i="1"/>
  <c r="C75" i="1"/>
  <c r="C237" i="1"/>
  <c r="C1264" i="1"/>
  <c r="C848" i="1"/>
  <c r="C680" i="1"/>
  <c r="C333" i="1"/>
  <c r="C1278" i="1"/>
  <c r="C367" i="1"/>
  <c r="C42" i="1"/>
  <c r="C697" i="1"/>
  <c r="C71" i="1"/>
  <c r="C137" i="1"/>
  <c r="C269" i="1"/>
  <c r="C819" i="1"/>
  <c r="C1280" i="1"/>
  <c r="C362" i="1"/>
  <c r="C699" i="1"/>
  <c r="C747" i="1"/>
  <c r="C37" i="1"/>
  <c r="C1152" i="1"/>
  <c r="C251" i="1"/>
  <c r="C312" i="1"/>
  <c r="C1299" i="1"/>
  <c r="C694" i="1"/>
  <c r="C500" i="1"/>
  <c r="C1344" i="1"/>
  <c r="C873" i="1"/>
  <c r="C564" i="1"/>
  <c r="C1471" i="1"/>
  <c r="C647" i="1"/>
  <c r="C1437" i="1"/>
  <c r="C1505" i="1"/>
  <c r="C26" i="1"/>
  <c r="C1029" i="1"/>
  <c r="C1039" i="1"/>
  <c r="C90" i="1"/>
  <c r="C1055" i="1"/>
  <c r="C1538" i="1"/>
  <c r="C1426" i="1"/>
  <c r="C167" i="1"/>
  <c r="C315" i="1"/>
  <c r="C948" i="1"/>
  <c r="C1296" i="1"/>
  <c r="C1554" i="1"/>
  <c r="C586" i="1"/>
  <c r="C1034" i="1"/>
  <c r="C1341" i="1"/>
  <c r="C1571" i="1"/>
  <c r="C664" i="1"/>
  <c r="C1171" i="1"/>
  <c r="C109" i="1"/>
  <c r="C1446" i="1"/>
  <c r="C629" i="1"/>
  <c r="C1282" i="1"/>
  <c r="C548" i="1"/>
  <c r="C1306" i="1"/>
  <c r="C1092" i="1"/>
  <c r="C1466" i="1"/>
  <c r="C1562" i="1"/>
  <c r="C1577" i="1"/>
  <c r="C561" i="1"/>
  <c r="C1485" i="1"/>
  <c r="C1023" i="1"/>
  <c r="C1046" i="1"/>
  <c r="C1202" i="1"/>
  <c r="C186" i="1"/>
  <c r="C740" i="1"/>
  <c r="C379" i="1"/>
  <c r="C56" i="1"/>
  <c r="C710" i="1"/>
  <c r="C254" i="1"/>
  <c r="C150" i="1"/>
  <c r="C282" i="1"/>
  <c r="C832" i="1"/>
  <c r="C1388" i="1"/>
  <c r="C375" i="1"/>
  <c r="C12" i="1"/>
  <c r="C968" i="1"/>
  <c r="C63" i="1"/>
  <c r="C1166" i="1"/>
  <c r="C285" i="1"/>
  <c r="C552" i="1"/>
  <c r="C1313" i="1"/>
  <c r="C712" i="1"/>
  <c r="C783" i="1"/>
  <c r="C1358" i="1"/>
  <c r="C993" i="1"/>
  <c r="C609" i="1"/>
  <c r="C1487" i="1"/>
  <c r="C686" i="1"/>
  <c r="C1455" i="1"/>
  <c r="C839" i="1"/>
  <c r="C88" i="1"/>
  <c r="C1053" i="1"/>
  <c r="C1151" i="1"/>
  <c r="C143" i="1"/>
  <c r="C1078" i="1"/>
  <c r="C1553" i="1"/>
  <c r="C1462" i="1"/>
  <c r="C840" i="1"/>
  <c r="C371" i="1"/>
  <c r="C1008" i="1"/>
  <c r="C1318" i="1"/>
  <c r="C1570" i="1"/>
  <c r="C625" i="1"/>
  <c r="C1059" i="1"/>
  <c r="C1362" i="1"/>
  <c r="C1600" i="1"/>
  <c r="C704" i="1"/>
  <c r="C1214" i="1"/>
  <c r="C738" i="1"/>
  <c r="C1481" i="1"/>
  <c r="C666" i="1"/>
  <c r="C1346" i="1"/>
  <c r="C596" i="1"/>
  <c r="C1348" i="1"/>
  <c r="C1222" i="1"/>
  <c r="C1547" i="1"/>
  <c r="C995" i="1"/>
  <c r="C402" i="1"/>
  <c r="C784" i="1"/>
  <c r="C290" i="1"/>
  <c r="C1288" i="1"/>
  <c r="C1179" i="1"/>
  <c r="C1450" i="1"/>
  <c r="C391" i="1"/>
  <c r="C69" i="1"/>
  <c r="C723" i="1"/>
  <c r="C267" i="1"/>
  <c r="C216" i="1"/>
  <c r="C296" i="1"/>
  <c r="C950" i="1"/>
  <c r="C1508" i="1"/>
  <c r="C388" i="1"/>
  <c r="C36" i="1"/>
  <c r="C983" i="1"/>
  <c r="C196" i="1"/>
  <c r="C1181" i="1"/>
  <c r="C522" i="1"/>
  <c r="C745" i="1"/>
  <c r="C1327" i="1"/>
  <c r="C730" i="1"/>
  <c r="C800" i="1"/>
  <c r="C1430" i="1"/>
  <c r="C1009" i="1"/>
  <c r="C646" i="1"/>
  <c r="C1325" i="1"/>
  <c r="C756" i="1"/>
  <c r="C1473" i="1"/>
  <c r="C957" i="1"/>
  <c r="C141" i="1"/>
  <c r="C1077" i="1"/>
  <c r="C1302" i="1"/>
  <c r="C469" i="1"/>
  <c r="C1103" i="1"/>
  <c r="C1569" i="1"/>
  <c r="C1495" i="1"/>
  <c r="C1217" i="1"/>
  <c r="C423" i="1"/>
  <c r="C1033" i="1"/>
  <c r="C1339" i="1"/>
  <c r="C1584" i="1"/>
  <c r="C661" i="1"/>
  <c r="C1081" i="1"/>
  <c r="C1406" i="1"/>
  <c r="C50" i="1"/>
  <c r="C737" i="1"/>
  <c r="C1257" i="1"/>
  <c r="C897" i="1"/>
  <c r="C1497" i="1"/>
  <c r="C706" i="1"/>
  <c r="C1410" i="1"/>
  <c r="C743" i="1"/>
  <c r="C1369" i="1"/>
  <c r="C1349" i="1"/>
  <c r="C1371" i="1"/>
  <c r="C1265" i="1"/>
  <c r="C877" i="1"/>
  <c r="C962" i="1"/>
  <c r="C820" i="1"/>
  <c r="C1501" i="1"/>
  <c r="C1433" i="1"/>
  <c r="C1531" i="1"/>
  <c r="C631" i="1"/>
  <c r="C309" i="1"/>
  <c r="C963" i="1"/>
  <c r="C1520" i="1"/>
  <c r="C506" i="1"/>
  <c r="C54" i="1"/>
  <c r="C1058" i="1"/>
  <c r="C575" i="1"/>
  <c r="C1195" i="1"/>
  <c r="C551" i="1"/>
  <c r="C761" i="1"/>
  <c r="C1454" i="1"/>
  <c r="C746" i="1"/>
  <c r="C886" i="1"/>
  <c r="C292" i="1"/>
  <c r="C1026" i="1"/>
  <c r="C682" i="1"/>
  <c r="C1498" i="1"/>
  <c r="C853" i="1"/>
  <c r="C1488" i="1"/>
  <c r="C1086" i="1"/>
  <c r="C515" i="1"/>
  <c r="C1099" i="1"/>
  <c r="C1463" i="1"/>
  <c r="C521" i="1"/>
  <c r="C1122" i="1"/>
  <c r="C1583" i="1"/>
  <c r="C52" i="1"/>
  <c r="C1368" i="1"/>
  <c r="C476" i="1"/>
  <c r="C1056" i="1"/>
  <c r="C1360" i="1"/>
  <c r="C1599" i="1"/>
  <c r="C698" i="1"/>
  <c r="C1149" i="1"/>
  <c r="C1425" i="1"/>
  <c r="C771" i="1"/>
  <c r="C984" i="1"/>
  <c r="C1431" i="1"/>
  <c r="C812" i="1"/>
  <c r="C1392" i="1"/>
  <c r="C1534" i="1"/>
  <c r="C1548" i="1"/>
  <c r="C1486" i="1"/>
  <c r="C1308" i="1"/>
  <c r="C1114" i="1"/>
  <c r="C1137" i="1"/>
  <c r="C1576" i="1"/>
  <c r="C1515" i="1"/>
  <c r="C643" i="1"/>
  <c r="C322" i="1"/>
  <c r="C976" i="1"/>
  <c r="C35" i="1"/>
  <c r="C655" i="1"/>
  <c r="C1011" i="1"/>
  <c r="C505" i="1"/>
  <c r="C11" i="1"/>
  <c r="C1102" i="1"/>
  <c r="C1503" i="1"/>
  <c r="C1546" i="1"/>
  <c r="C1085" i="1"/>
  <c r="C720" i="1"/>
  <c r="C1097" i="1"/>
  <c r="C777" i="1"/>
  <c r="C773" i="1"/>
  <c r="C1336" i="1"/>
  <c r="C1482" i="1"/>
  <c r="C1125" i="1"/>
  <c r="C376" i="1"/>
  <c r="C1461" i="1"/>
  <c r="C926" i="1"/>
  <c r="C1543" i="1"/>
  <c r="C1575" i="1"/>
  <c r="C182" i="1"/>
  <c r="C1021" i="1"/>
  <c r="C1245" i="1"/>
  <c r="C1578" i="1"/>
  <c r="C716" i="1"/>
  <c r="C1563" i="1"/>
  <c r="C1220" i="1"/>
  <c r="C238" i="1"/>
  <c r="C155" i="1"/>
  <c r="C1191" i="1"/>
  <c r="C397" i="1"/>
  <c r="C526" i="1"/>
  <c r="C768" i="1"/>
  <c r="C455" i="1"/>
  <c r="C61" i="1"/>
  <c r="C486" i="1"/>
  <c r="C1468" i="1"/>
  <c r="C1073" i="1"/>
  <c r="C209" i="1"/>
  <c r="C562" i="1"/>
  <c r="C1087" i="1"/>
  <c r="C1317" i="1"/>
  <c r="C1513" i="1"/>
  <c r="C763" i="1"/>
  <c r="C18" i="1"/>
  <c r="C518" i="1"/>
  <c r="C30" i="1"/>
  <c r="C1219" i="1"/>
  <c r="C577" i="1"/>
  <c r="C128" i="1"/>
  <c r="C1173" i="1"/>
  <c r="C910" i="1"/>
  <c r="C1163" i="1"/>
  <c r="C567" i="1"/>
  <c r="C1018" i="1"/>
  <c r="C1359" i="1"/>
  <c r="C1589" i="1"/>
  <c r="C1168" i="1"/>
  <c r="C769" i="1"/>
  <c r="C1478" i="1"/>
  <c r="C982" i="1"/>
  <c r="C1574" i="1"/>
  <c r="C62" i="1"/>
  <c r="C1593" i="1"/>
  <c r="C1286" i="1"/>
  <c r="C1470" i="1"/>
  <c r="C130" i="1"/>
  <c r="C1394" i="1"/>
  <c r="C568" i="1"/>
  <c r="C1157" i="1"/>
  <c r="C670" i="1"/>
  <c r="C378" i="1"/>
  <c r="C425" i="1"/>
  <c r="C1216" i="1"/>
  <c r="C1108" i="1"/>
  <c r="C438" i="1"/>
  <c r="C24" i="1"/>
  <c r="C837" i="1"/>
  <c r="C1423" i="1"/>
  <c r="C1457" i="1"/>
  <c r="C1194" i="1"/>
  <c r="C465" i="1"/>
  <c r="C114" i="1"/>
  <c r="C894" i="1"/>
  <c r="C787" i="1"/>
  <c r="C346" i="1"/>
  <c r="C584" i="1"/>
  <c r="C234" i="1"/>
  <c r="C1298" i="1"/>
  <c r="C598" i="1"/>
  <c r="C154" i="1"/>
  <c r="C318" i="1"/>
  <c r="C996" i="1"/>
  <c r="C1183" i="1"/>
  <c r="C612" i="1"/>
  <c r="C633" i="1"/>
  <c r="C1597" i="1"/>
  <c r="C224" i="1"/>
  <c r="C1189" i="1"/>
  <c r="C836" i="1"/>
  <c r="C1494" i="1"/>
  <c r="C1321" i="1"/>
  <c r="C57" i="1"/>
  <c r="C332" i="1"/>
  <c r="C183" i="1"/>
  <c r="C1500" i="1"/>
  <c r="C279" i="1"/>
  <c r="C899" i="1"/>
  <c r="C1232" i="1"/>
  <c r="C327" i="1"/>
  <c r="C785" i="1"/>
  <c r="C1210" i="1"/>
  <c r="C432" i="1"/>
  <c r="C1117" i="1"/>
  <c r="C685" i="1"/>
  <c r="C1420" i="1"/>
  <c r="C1110" i="1"/>
  <c r="C452" i="1"/>
  <c r="C1080" i="1"/>
  <c r="C1178" i="1"/>
  <c r="C1490" i="1"/>
  <c r="C772" i="1"/>
  <c r="C641" i="1"/>
  <c r="C799" i="1"/>
  <c r="C359" i="1"/>
  <c r="C597" i="1"/>
  <c r="C258" i="1"/>
  <c r="C594" i="1"/>
  <c r="C692" i="1"/>
  <c r="C180" i="1"/>
  <c r="C351" i="1"/>
  <c r="C1225" i="1"/>
  <c r="C1504" i="1"/>
  <c r="C648" i="1"/>
  <c r="C875" i="1"/>
  <c r="C107" i="1"/>
  <c r="C672" i="1"/>
  <c r="C1382" i="1"/>
  <c r="C863" i="1"/>
  <c r="C1510" i="1"/>
  <c r="C1365" i="1"/>
  <c r="C328" i="1"/>
  <c r="C843" i="1"/>
  <c r="C509" i="1"/>
  <c r="C642" i="1"/>
  <c r="C1329" i="1"/>
  <c r="C650" i="1"/>
  <c r="C324" i="1"/>
  <c r="C412" i="1"/>
  <c r="C733" i="1"/>
  <c r="C48" i="1"/>
  <c r="C1379" i="1"/>
  <c r="C1041" i="1"/>
  <c r="C1409" i="1"/>
  <c r="C1274" i="1"/>
  <c r="C1499" i="1"/>
  <c r="C74" i="1"/>
  <c r="C628" i="1"/>
  <c r="C87" i="1"/>
  <c r="C1050" i="1"/>
  <c r="C1444" i="1"/>
  <c r="C1417" i="1"/>
  <c r="C265" i="1"/>
  <c r="C372" i="1"/>
  <c r="C989" i="1"/>
  <c r="C277" i="1"/>
  <c r="C613" i="1"/>
  <c r="C174" i="1"/>
  <c r="C765" i="1"/>
  <c r="C377" i="1"/>
  <c r="C1247" i="1"/>
  <c r="C1521" i="1"/>
  <c r="C687" i="1"/>
  <c r="C614" i="1"/>
  <c r="C1061" i="1"/>
  <c r="C961" i="1"/>
  <c r="C1404" i="1"/>
  <c r="C892" i="1"/>
  <c r="C219" i="1"/>
  <c r="C1407" i="1"/>
  <c r="C433" i="1"/>
  <c r="C1019" i="1"/>
  <c r="C752" i="1"/>
  <c r="C449" i="1"/>
  <c r="C341" i="1"/>
  <c r="C1590" i="1"/>
  <c r="C278" i="1"/>
  <c r="C490" i="1"/>
  <c r="C1052" i="1"/>
  <c r="C78" i="1"/>
  <c r="C630" i="1"/>
  <c r="C201" i="1"/>
  <c r="C917" i="1"/>
  <c r="C404" i="1"/>
  <c r="C276" i="1"/>
  <c r="C1271" i="1"/>
  <c r="C722" i="1"/>
  <c r="C651" i="1"/>
  <c r="C1150" i="1"/>
  <c r="C534" i="1"/>
  <c r="C1442" i="1"/>
  <c r="C923" i="1"/>
  <c r="C272" i="1"/>
  <c r="C1445" i="1"/>
  <c r="C808" i="1"/>
  <c r="C1091" i="1"/>
  <c r="C939" i="1"/>
  <c r="C905" i="1"/>
  <c r="C846" i="1"/>
  <c r="C396" i="1"/>
  <c r="C916" i="1"/>
  <c r="C129" i="1"/>
  <c r="C430" i="1"/>
  <c r="C708" i="1"/>
  <c r="C1314" i="1"/>
  <c r="C1143" i="1"/>
  <c r="C690" i="1"/>
  <c r="C1236" i="1"/>
  <c r="C624" i="1"/>
  <c r="C1459" i="1"/>
  <c r="C1169" i="1"/>
  <c r="C1479" i="1"/>
  <c r="C1111" i="1"/>
  <c r="C1200" i="1"/>
  <c r="C409" i="1"/>
  <c r="C507" i="1"/>
  <c r="C934" i="1"/>
  <c r="C1042" i="1"/>
  <c r="C992" i="1"/>
  <c r="C1357" i="1"/>
  <c r="C1335" i="1"/>
  <c r="C725" i="1"/>
  <c r="C1476" i="1"/>
  <c r="C1062" i="1"/>
  <c r="C960" i="1"/>
  <c r="C1155" i="1"/>
  <c r="C1517" i="1"/>
  <c r="C422" i="1"/>
  <c r="C951" i="1"/>
  <c r="C395" i="1"/>
  <c r="C1234" i="1"/>
  <c r="C1198" i="1"/>
  <c r="C759" i="1"/>
  <c r="C49" i="1"/>
  <c r="C1212" i="1"/>
  <c r="C431" i="1"/>
  <c r="C1483" i="1"/>
  <c r="C678" i="1"/>
  <c r="C749" i="1"/>
  <c r="C969" i="1"/>
  <c r="C902" i="1"/>
  <c r="C1248" i="1"/>
  <c r="C1387" i="1"/>
  <c r="C830" i="1"/>
  <c r="C157" i="1"/>
  <c r="C1235" i="1"/>
  <c r="C1174" i="1"/>
  <c r="C1373" i="1"/>
  <c r="C876" i="1"/>
  <c r="C867" i="1"/>
  <c r="C986" i="1"/>
  <c r="C918" i="1"/>
  <c r="C1262" i="1"/>
  <c r="C1027" i="1"/>
  <c r="C1527" i="1"/>
  <c r="C1294" i="1"/>
  <c r="C1254" i="1"/>
  <c r="C864" i="1"/>
  <c r="C1465" i="1"/>
  <c r="C1530" i="1"/>
  <c r="C1549" i="1"/>
  <c r="C998" i="1"/>
  <c r="C1533" i="1"/>
  <c r="C938" i="1"/>
  <c r="C1276" i="1"/>
  <c r="C221" i="1"/>
  <c r="C1104" i="1"/>
  <c r="C316" i="1"/>
  <c r="C1237" i="1"/>
  <c r="C1434" i="1"/>
  <c r="C965" i="1"/>
  <c r="G19" i="4" l="1"/>
  <c r="G16" i="4"/>
  <c r="H18" i="4"/>
  <c r="I18" i="4"/>
  <c r="J18" i="4"/>
  <c r="K18" i="4"/>
  <c r="I7" i="4"/>
  <c r="H14" i="4"/>
  <c r="H9" i="4"/>
  <c r="H12" i="4" s="1"/>
  <c r="H13" i="4"/>
  <c r="H15" i="4"/>
  <c r="F1521" i="1"/>
  <c r="I1521" i="1" s="1"/>
  <c r="H1521" i="1"/>
  <c r="K1521" i="1" s="1"/>
  <c r="G1521" i="1"/>
  <c r="J1521" i="1" s="1"/>
  <c r="F562" i="1"/>
  <c r="I562" i="1" s="1"/>
  <c r="H562" i="1"/>
  <c r="K562" i="1" s="1"/>
  <c r="G562" i="1"/>
  <c r="J562" i="1" s="1"/>
  <c r="F1569" i="1"/>
  <c r="I1569" i="1" s="1"/>
  <c r="H1569" i="1"/>
  <c r="K1569" i="1" s="1"/>
  <c r="G1569" i="1"/>
  <c r="J1569" i="1" s="1"/>
  <c r="F1577" i="1"/>
  <c r="I1577" i="1" s="1"/>
  <c r="H1577" i="1"/>
  <c r="K1577" i="1" s="1"/>
  <c r="G1577" i="1"/>
  <c r="J1577" i="1" s="1"/>
  <c r="F750" i="1"/>
  <c r="I750" i="1" s="1"/>
  <c r="H750" i="1"/>
  <c r="K750" i="1" s="1"/>
  <c r="G750" i="1"/>
  <c r="J750" i="1" s="1"/>
  <c r="F1105" i="1"/>
  <c r="I1105" i="1" s="1"/>
  <c r="H1105" i="1"/>
  <c r="K1105" i="1" s="1"/>
  <c r="G1105" i="1"/>
  <c r="J1105" i="1" s="1"/>
  <c r="F1237" i="1"/>
  <c r="I1237" i="1" s="1"/>
  <c r="H1237" i="1"/>
  <c r="K1237" i="1" s="1"/>
  <c r="G1237" i="1"/>
  <c r="J1237" i="1" s="1"/>
  <c r="F875" i="1"/>
  <c r="I875" i="1" s="1"/>
  <c r="H875" i="1"/>
  <c r="K875" i="1" s="1"/>
  <c r="G875" i="1"/>
  <c r="J875" i="1" s="1"/>
  <c r="F505" i="1"/>
  <c r="I505" i="1" s="1"/>
  <c r="H505" i="1"/>
  <c r="K505" i="1" s="1"/>
  <c r="G505" i="1"/>
  <c r="J505" i="1" s="1"/>
  <c r="F1362" i="1"/>
  <c r="I1362" i="1" s="1"/>
  <c r="H1362" i="1"/>
  <c r="K1362" i="1" s="1"/>
  <c r="G1362" i="1"/>
  <c r="J1362" i="1" s="1"/>
  <c r="F684" i="1"/>
  <c r="I684" i="1" s="1"/>
  <c r="H684" i="1"/>
  <c r="K684" i="1" s="1"/>
  <c r="G684" i="1"/>
  <c r="J684" i="1" s="1"/>
  <c r="F1035" i="1"/>
  <c r="I1035" i="1" s="1"/>
  <c r="H1035" i="1"/>
  <c r="K1035" i="1" s="1"/>
  <c r="G1035" i="1"/>
  <c r="J1035" i="1" s="1"/>
  <c r="F1357" i="1"/>
  <c r="I1357" i="1" s="1"/>
  <c r="H1357" i="1"/>
  <c r="K1357" i="1" s="1"/>
  <c r="G1357" i="1"/>
  <c r="J1357" i="1" s="1"/>
  <c r="F772" i="1"/>
  <c r="I772" i="1" s="1"/>
  <c r="H772" i="1"/>
  <c r="K772" i="1" s="1"/>
  <c r="G772" i="1"/>
  <c r="J772" i="1" s="1"/>
  <c r="F1563" i="1"/>
  <c r="I1563" i="1" s="1"/>
  <c r="H1563" i="1"/>
  <c r="K1563" i="1" s="1"/>
  <c r="G1563" i="1"/>
  <c r="J1563" i="1" s="1"/>
  <c r="F853" i="1"/>
  <c r="I853" i="1" s="1"/>
  <c r="H853" i="1"/>
  <c r="K853" i="1" s="1"/>
  <c r="G853" i="1"/>
  <c r="J853" i="1" s="1"/>
  <c r="F216" i="1"/>
  <c r="I216" i="1" s="1"/>
  <c r="G216" i="1"/>
  <c r="J216" i="1" s="1"/>
  <c r="H216" i="1"/>
  <c r="K216" i="1" s="1"/>
  <c r="F1466" i="1"/>
  <c r="I1466" i="1" s="1"/>
  <c r="H1466" i="1"/>
  <c r="K1466" i="1" s="1"/>
  <c r="G1466" i="1"/>
  <c r="J1466" i="1" s="1"/>
  <c r="F932" i="1"/>
  <c r="I932" i="1" s="1"/>
  <c r="H932" i="1"/>
  <c r="K932" i="1" s="1"/>
  <c r="G932" i="1"/>
  <c r="J932" i="1" s="1"/>
  <c r="F92" i="1"/>
  <c r="I92" i="1" s="1"/>
  <c r="H92" i="1"/>
  <c r="K92" i="1" s="1"/>
  <c r="G92" i="1"/>
  <c r="J92" i="1" s="1"/>
  <c r="F1429" i="1"/>
  <c r="I1429" i="1" s="1"/>
  <c r="H1429" i="1"/>
  <c r="K1429" i="1" s="1"/>
  <c r="G1429" i="1"/>
  <c r="J1429" i="1" s="1"/>
  <c r="F757" i="1"/>
  <c r="I757" i="1" s="1"/>
  <c r="H757" i="1"/>
  <c r="K757" i="1" s="1"/>
  <c r="G757" i="1"/>
  <c r="J757" i="1" s="1"/>
  <c r="F305" i="1"/>
  <c r="I305" i="1" s="1"/>
  <c r="H305" i="1"/>
  <c r="K305" i="1" s="1"/>
  <c r="G305" i="1"/>
  <c r="J305" i="1" s="1"/>
  <c r="F577" i="1"/>
  <c r="I577" i="1" s="1"/>
  <c r="H577" i="1"/>
  <c r="K577" i="1" s="1"/>
  <c r="G577" i="1"/>
  <c r="J577" i="1" s="1"/>
  <c r="F460" i="1"/>
  <c r="I460" i="1" s="1"/>
  <c r="H460" i="1"/>
  <c r="K460" i="1" s="1"/>
  <c r="G460" i="1"/>
  <c r="J460" i="1" s="1"/>
  <c r="F1498" i="1"/>
  <c r="I1498" i="1" s="1"/>
  <c r="H1498" i="1"/>
  <c r="K1498" i="1" s="1"/>
  <c r="G1498" i="1"/>
  <c r="J1498" i="1" s="1"/>
  <c r="F1222" i="1"/>
  <c r="I1222" i="1" s="1"/>
  <c r="H1222" i="1"/>
  <c r="K1222" i="1" s="1"/>
  <c r="G1222" i="1"/>
  <c r="J1222" i="1" s="1"/>
  <c r="F586" i="1"/>
  <c r="I586" i="1" s="1"/>
  <c r="H586" i="1"/>
  <c r="K586" i="1" s="1"/>
  <c r="G586" i="1"/>
  <c r="J586" i="1" s="1"/>
  <c r="F1539" i="1"/>
  <c r="I1539" i="1" s="1"/>
  <c r="H1539" i="1"/>
  <c r="K1539" i="1" s="1"/>
  <c r="G1539" i="1"/>
  <c r="J1539" i="1" s="1"/>
  <c r="F891" i="1"/>
  <c r="I891" i="1" s="1"/>
  <c r="H891" i="1"/>
  <c r="K891" i="1" s="1"/>
  <c r="G891" i="1"/>
  <c r="J891" i="1" s="1"/>
  <c r="F903" i="1"/>
  <c r="I903" i="1" s="1"/>
  <c r="H903" i="1"/>
  <c r="K903" i="1" s="1"/>
  <c r="G903" i="1"/>
  <c r="J903" i="1" s="1"/>
  <c r="F1071" i="1"/>
  <c r="I1071" i="1" s="1"/>
  <c r="H1071" i="1"/>
  <c r="K1071" i="1" s="1"/>
  <c r="G1071" i="1"/>
  <c r="J1071" i="1" s="1"/>
  <c r="F814" i="1"/>
  <c r="I814" i="1" s="1"/>
  <c r="H814" i="1"/>
  <c r="K814" i="1" s="1"/>
  <c r="G814" i="1"/>
  <c r="J814" i="1" s="1"/>
  <c r="F1100" i="1"/>
  <c r="I1100" i="1" s="1"/>
  <c r="H1100" i="1"/>
  <c r="K1100" i="1" s="1"/>
  <c r="G1100" i="1"/>
  <c r="J1100" i="1" s="1"/>
  <c r="F1354" i="1"/>
  <c r="I1354" i="1" s="1"/>
  <c r="H1354" i="1"/>
  <c r="K1354" i="1" s="1"/>
  <c r="G1354" i="1"/>
  <c r="J1354" i="1" s="1"/>
  <c r="F201" i="1"/>
  <c r="I201" i="1" s="1"/>
  <c r="H201" i="1"/>
  <c r="K201" i="1" s="1"/>
  <c r="G201" i="1"/>
  <c r="J201" i="1" s="1"/>
  <c r="F899" i="1"/>
  <c r="I899" i="1" s="1"/>
  <c r="H899" i="1"/>
  <c r="K899" i="1" s="1"/>
  <c r="G899" i="1"/>
  <c r="J899" i="1" s="1"/>
  <c r="F894" i="1"/>
  <c r="I894" i="1" s="1"/>
  <c r="H894" i="1"/>
  <c r="K894" i="1" s="1"/>
  <c r="G894" i="1"/>
  <c r="J894" i="1" s="1"/>
  <c r="F378" i="1"/>
  <c r="I378" i="1" s="1"/>
  <c r="H378" i="1"/>
  <c r="K378" i="1" s="1"/>
  <c r="G378" i="1"/>
  <c r="J378" i="1" s="1"/>
  <c r="F1478" i="1"/>
  <c r="I1478" i="1" s="1"/>
  <c r="H1478" i="1"/>
  <c r="K1478" i="1" s="1"/>
  <c r="G1478" i="1"/>
  <c r="J1478" i="1" s="1"/>
  <c r="F1219" i="1"/>
  <c r="I1219" i="1" s="1"/>
  <c r="H1219" i="1"/>
  <c r="K1219" i="1" s="1"/>
  <c r="G1219" i="1"/>
  <c r="J1219" i="1" s="1"/>
  <c r="F486" i="1"/>
  <c r="I486" i="1" s="1"/>
  <c r="H486" i="1"/>
  <c r="K486" i="1" s="1"/>
  <c r="G486" i="1"/>
  <c r="J486" i="1" s="1"/>
  <c r="F1578" i="1"/>
  <c r="I1578" i="1" s="1"/>
  <c r="H1578" i="1"/>
  <c r="K1578" i="1" s="1"/>
  <c r="G1578" i="1"/>
  <c r="J1578" i="1" s="1"/>
  <c r="F773" i="1"/>
  <c r="I773" i="1" s="1"/>
  <c r="H773" i="1"/>
  <c r="K773" i="1" s="1"/>
  <c r="G773" i="1"/>
  <c r="J773" i="1" s="1"/>
  <c r="F35" i="1"/>
  <c r="I35" i="1" s="1"/>
  <c r="H35" i="1"/>
  <c r="K35" i="1" s="1"/>
  <c r="G35" i="1"/>
  <c r="J35" i="1" s="1"/>
  <c r="F1392" i="1"/>
  <c r="I1392" i="1" s="1"/>
  <c r="G1392" i="1"/>
  <c r="J1392" i="1" s="1"/>
  <c r="H1392" i="1"/>
  <c r="K1392" i="1" s="1"/>
  <c r="F1368" i="1"/>
  <c r="I1368" i="1" s="1"/>
  <c r="H1368" i="1"/>
  <c r="K1368" i="1" s="1"/>
  <c r="G1368" i="1"/>
  <c r="J1368" i="1" s="1"/>
  <c r="F682" i="1"/>
  <c r="I682" i="1" s="1"/>
  <c r="H682" i="1"/>
  <c r="K682" i="1" s="1"/>
  <c r="G682" i="1"/>
  <c r="J682" i="1" s="1"/>
  <c r="F506" i="1"/>
  <c r="I506" i="1" s="1"/>
  <c r="H506" i="1"/>
  <c r="K506" i="1" s="1"/>
  <c r="G506" i="1"/>
  <c r="J506" i="1" s="1"/>
  <c r="F1371" i="1"/>
  <c r="I1371" i="1" s="1"/>
  <c r="H1371" i="1"/>
  <c r="K1371" i="1" s="1"/>
  <c r="G1371" i="1"/>
  <c r="J1371" i="1" s="1"/>
  <c r="F1081" i="1"/>
  <c r="I1081" i="1" s="1"/>
  <c r="H1081" i="1"/>
  <c r="K1081" i="1" s="1"/>
  <c r="G1081" i="1"/>
  <c r="J1081" i="1" s="1"/>
  <c r="F1077" i="1"/>
  <c r="I1077" i="1" s="1"/>
  <c r="G1077" i="1"/>
  <c r="J1077" i="1" s="1"/>
  <c r="H1077" i="1"/>
  <c r="K1077" i="1" s="1"/>
  <c r="F745" i="1"/>
  <c r="I745" i="1" s="1"/>
  <c r="H745" i="1"/>
  <c r="K745" i="1" s="1"/>
  <c r="G745" i="1"/>
  <c r="J745" i="1" s="1"/>
  <c r="F723" i="1"/>
  <c r="I723" i="1" s="1"/>
  <c r="H723" i="1"/>
  <c r="K723" i="1" s="1"/>
  <c r="G723" i="1"/>
  <c r="J723" i="1" s="1"/>
  <c r="F1348" i="1"/>
  <c r="I1348" i="1" s="1"/>
  <c r="H1348" i="1"/>
  <c r="K1348" i="1" s="1"/>
  <c r="G1348" i="1"/>
  <c r="J1348" i="1" s="1"/>
  <c r="F1570" i="1"/>
  <c r="I1570" i="1" s="1"/>
  <c r="H1570" i="1"/>
  <c r="K1570" i="1" s="1"/>
  <c r="G1570" i="1"/>
  <c r="J1570" i="1" s="1"/>
  <c r="F839" i="1"/>
  <c r="I839" i="1" s="1"/>
  <c r="H839" i="1"/>
  <c r="K839" i="1" s="1"/>
  <c r="G839" i="1"/>
  <c r="J839" i="1" s="1"/>
  <c r="F1166" i="1"/>
  <c r="I1166" i="1" s="1"/>
  <c r="H1166" i="1"/>
  <c r="K1166" i="1" s="1"/>
  <c r="G1166" i="1"/>
  <c r="J1166" i="1" s="1"/>
  <c r="F379" i="1"/>
  <c r="I379" i="1" s="1"/>
  <c r="H379" i="1"/>
  <c r="K379" i="1" s="1"/>
  <c r="G379" i="1"/>
  <c r="J379" i="1" s="1"/>
  <c r="F1306" i="1"/>
  <c r="I1306" i="1" s="1"/>
  <c r="G1306" i="1"/>
  <c r="J1306" i="1" s="1"/>
  <c r="H1306" i="1"/>
  <c r="K1306" i="1" s="1"/>
  <c r="F1554" i="1"/>
  <c r="I1554" i="1" s="1"/>
  <c r="G1554" i="1"/>
  <c r="J1554" i="1" s="1"/>
  <c r="H1554" i="1"/>
  <c r="K1554" i="1" s="1"/>
  <c r="F1505" i="1"/>
  <c r="I1505" i="1" s="1"/>
  <c r="H1505" i="1"/>
  <c r="K1505" i="1" s="1"/>
  <c r="G1505" i="1"/>
  <c r="J1505" i="1" s="1"/>
  <c r="F1152" i="1"/>
  <c r="I1152" i="1" s="1"/>
  <c r="H1152" i="1"/>
  <c r="K1152" i="1" s="1"/>
  <c r="G1152" i="1"/>
  <c r="J1152" i="1" s="1"/>
  <c r="F367" i="1"/>
  <c r="I367" i="1" s="1"/>
  <c r="H367" i="1"/>
  <c r="K367" i="1" s="1"/>
  <c r="G367" i="1"/>
  <c r="J367" i="1" s="1"/>
  <c r="F495" i="1"/>
  <c r="I495" i="1" s="1"/>
  <c r="H495" i="1"/>
  <c r="K495" i="1" s="1"/>
  <c r="G495" i="1"/>
  <c r="J495" i="1" s="1"/>
  <c r="F1275" i="1"/>
  <c r="I1275" i="1" s="1"/>
  <c r="H1275" i="1"/>
  <c r="K1275" i="1" s="1"/>
  <c r="G1275" i="1"/>
  <c r="J1275" i="1" s="1"/>
  <c r="F1419" i="1"/>
  <c r="I1419" i="1" s="1"/>
  <c r="H1419" i="1"/>
  <c r="K1419" i="1" s="1"/>
  <c r="G1419" i="1"/>
  <c r="J1419" i="1" s="1"/>
  <c r="F4" i="1"/>
  <c r="I4" i="1" s="1"/>
  <c r="H4" i="1"/>
  <c r="K4" i="1" s="1"/>
  <c r="G4" i="1"/>
  <c r="J4" i="1" s="1"/>
  <c r="F159" i="1"/>
  <c r="I159" i="1" s="1"/>
  <c r="H159" i="1"/>
  <c r="K159" i="1" s="1"/>
  <c r="G159" i="1"/>
  <c r="J159" i="1" s="1"/>
  <c r="F541" i="1"/>
  <c r="I541" i="1" s="1"/>
  <c r="H541" i="1"/>
  <c r="K541" i="1" s="1"/>
  <c r="G541" i="1"/>
  <c r="J541" i="1" s="1"/>
  <c r="F156" i="1"/>
  <c r="I156" i="1" s="1"/>
  <c r="H156" i="1"/>
  <c r="K156" i="1" s="1"/>
  <c r="G156" i="1"/>
  <c r="J156" i="1" s="1"/>
  <c r="F1435" i="1"/>
  <c r="I1435" i="1" s="1"/>
  <c r="H1435" i="1"/>
  <c r="K1435" i="1" s="1"/>
  <c r="G1435" i="1"/>
  <c r="J1435" i="1" s="1"/>
  <c r="F416" i="1"/>
  <c r="I416" i="1" s="1"/>
  <c r="H416" i="1"/>
  <c r="K416" i="1" s="1"/>
  <c r="G416" i="1"/>
  <c r="J416" i="1" s="1"/>
  <c r="F909" i="1"/>
  <c r="I909" i="1" s="1"/>
  <c r="G909" i="1"/>
  <c r="J909" i="1" s="1"/>
  <c r="H909" i="1"/>
  <c r="K909" i="1" s="1"/>
  <c r="F1177" i="1"/>
  <c r="I1177" i="1" s="1"/>
  <c r="H1177" i="1"/>
  <c r="K1177" i="1" s="1"/>
  <c r="G1177" i="1"/>
  <c r="J1177" i="1" s="1"/>
  <c r="F1509" i="1"/>
  <c r="I1509" i="1" s="1"/>
  <c r="G1509" i="1"/>
  <c r="J1509" i="1" s="1"/>
  <c r="H1509" i="1"/>
  <c r="K1509" i="1" s="1"/>
  <c r="F1399" i="1"/>
  <c r="I1399" i="1" s="1"/>
  <c r="H1399" i="1"/>
  <c r="K1399" i="1" s="1"/>
  <c r="G1399" i="1"/>
  <c r="J1399" i="1" s="1"/>
  <c r="F827" i="1"/>
  <c r="I827" i="1" s="1"/>
  <c r="H827" i="1"/>
  <c r="K827" i="1" s="1"/>
  <c r="G827" i="1"/>
  <c r="J827" i="1" s="1"/>
  <c r="F223" i="1"/>
  <c r="I223" i="1" s="1"/>
  <c r="H223" i="1"/>
  <c r="K223" i="1" s="1"/>
  <c r="G223" i="1"/>
  <c r="J223" i="1" s="1"/>
  <c r="F1449" i="1"/>
  <c r="I1449" i="1" s="1"/>
  <c r="H1449" i="1"/>
  <c r="K1449" i="1" s="1"/>
  <c r="G1449" i="1"/>
  <c r="J1449" i="1" s="1"/>
  <c r="F734" i="1"/>
  <c r="I734" i="1" s="1"/>
  <c r="H734" i="1"/>
  <c r="K734" i="1" s="1"/>
  <c r="G734" i="1"/>
  <c r="J734" i="1" s="1"/>
  <c r="F410" i="1"/>
  <c r="I410" i="1" s="1"/>
  <c r="H410" i="1"/>
  <c r="K410" i="1" s="1"/>
  <c r="G410" i="1"/>
  <c r="J410" i="1" s="1"/>
  <c r="F274" i="1"/>
  <c r="I274" i="1" s="1"/>
  <c r="H274" i="1"/>
  <c r="K274" i="1" s="1"/>
  <c r="G274" i="1"/>
  <c r="J274" i="1" s="1"/>
  <c r="F729" i="1"/>
  <c r="I729" i="1" s="1"/>
  <c r="G729" i="1"/>
  <c r="J729" i="1" s="1"/>
  <c r="H729" i="1"/>
  <c r="K729" i="1" s="1"/>
  <c r="F1496" i="1"/>
  <c r="I1496" i="1" s="1"/>
  <c r="G1496" i="1"/>
  <c r="J1496" i="1" s="1"/>
  <c r="H1496" i="1"/>
  <c r="K1496" i="1" s="1"/>
  <c r="F559" i="1"/>
  <c r="I559" i="1" s="1"/>
  <c r="H559" i="1"/>
  <c r="K559" i="1" s="1"/>
  <c r="G559" i="1"/>
  <c r="J559" i="1" s="1"/>
  <c r="F591" i="1"/>
  <c r="I591" i="1" s="1"/>
  <c r="H591" i="1"/>
  <c r="K591" i="1" s="1"/>
  <c r="G591" i="1"/>
  <c r="J591" i="1" s="1"/>
  <c r="F748" i="1"/>
  <c r="I748" i="1" s="1"/>
  <c r="H748" i="1"/>
  <c r="K748" i="1" s="1"/>
  <c r="G748" i="1"/>
  <c r="J748" i="1" s="1"/>
  <c r="F936" i="1"/>
  <c r="I936" i="1" s="1"/>
  <c r="H936" i="1"/>
  <c r="K936" i="1" s="1"/>
  <c r="G936" i="1"/>
  <c r="J936" i="1" s="1"/>
  <c r="F228" i="1"/>
  <c r="I228" i="1" s="1"/>
  <c r="H228" i="1"/>
  <c r="K228" i="1" s="1"/>
  <c r="G228" i="1"/>
  <c r="J228" i="1" s="1"/>
  <c r="F665" i="1"/>
  <c r="I665" i="1" s="1"/>
  <c r="H665" i="1"/>
  <c r="K665" i="1" s="1"/>
  <c r="G665" i="1"/>
  <c r="J665" i="1" s="1"/>
  <c r="F405" i="1"/>
  <c r="I405" i="1" s="1"/>
  <c r="H405" i="1"/>
  <c r="K405" i="1" s="1"/>
  <c r="G405" i="1"/>
  <c r="J405" i="1" s="1"/>
  <c r="F172" i="1"/>
  <c r="I172" i="1" s="1"/>
  <c r="H172" i="1"/>
  <c r="K172" i="1" s="1"/>
  <c r="G172" i="1"/>
  <c r="J172" i="1" s="1"/>
  <c r="F780" i="1"/>
  <c r="I780" i="1" s="1"/>
  <c r="H780" i="1"/>
  <c r="K780" i="1" s="1"/>
  <c r="G780" i="1"/>
  <c r="J780" i="1" s="1"/>
  <c r="F696" i="1"/>
  <c r="I696" i="1" s="1"/>
  <c r="H696" i="1"/>
  <c r="K696" i="1" s="1"/>
  <c r="G696" i="1"/>
  <c r="J696" i="1" s="1"/>
  <c r="F856" i="1"/>
  <c r="I856" i="1" s="1"/>
  <c r="H856" i="1"/>
  <c r="K856" i="1" s="1"/>
  <c r="G856" i="1"/>
  <c r="J856" i="1" s="1"/>
  <c r="F681" i="1"/>
  <c r="I681" i="1" s="1"/>
  <c r="H681" i="1"/>
  <c r="K681" i="1" s="1"/>
  <c r="G681" i="1"/>
  <c r="J681" i="1" s="1"/>
  <c r="F862" i="1"/>
  <c r="I862" i="1" s="1"/>
  <c r="H862" i="1"/>
  <c r="K862" i="1" s="1"/>
  <c r="G862" i="1"/>
  <c r="J862" i="1" s="1"/>
  <c r="F34" i="1"/>
  <c r="I34" i="1" s="1"/>
  <c r="H34" i="1"/>
  <c r="K34" i="1" s="1"/>
  <c r="G34" i="1"/>
  <c r="J34" i="1" s="1"/>
  <c r="F1279" i="1"/>
  <c r="I1279" i="1" s="1"/>
  <c r="G1279" i="1"/>
  <c r="J1279" i="1" s="1"/>
  <c r="H1279" i="1"/>
  <c r="K1279" i="1" s="1"/>
  <c r="F870" i="1"/>
  <c r="I870" i="1" s="1"/>
  <c r="G870" i="1"/>
  <c r="J870" i="1" s="1"/>
  <c r="H870" i="1"/>
  <c r="K870" i="1" s="1"/>
  <c r="F1101" i="1"/>
  <c r="I1101" i="1" s="1"/>
  <c r="H1101" i="1"/>
  <c r="K1101" i="1" s="1"/>
  <c r="G1101" i="1"/>
  <c r="J1101" i="1" s="1"/>
  <c r="F1233" i="1"/>
  <c r="I1233" i="1" s="1"/>
  <c r="H1233" i="1"/>
  <c r="K1233" i="1" s="1"/>
  <c r="G1233" i="1"/>
  <c r="J1233" i="1" s="1"/>
  <c r="F503" i="1"/>
  <c r="I503" i="1" s="1"/>
  <c r="H503" i="1"/>
  <c r="K503" i="1" s="1"/>
  <c r="G503" i="1"/>
  <c r="J503" i="1" s="1"/>
  <c r="F103" i="1"/>
  <c r="I103" i="1" s="1"/>
  <c r="H103" i="1"/>
  <c r="K103" i="1" s="1"/>
  <c r="G103" i="1"/>
  <c r="J103" i="1" s="1"/>
  <c r="F1491" i="1"/>
  <c r="I1491" i="1" s="1"/>
  <c r="H1491" i="1"/>
  <c r="K1491" i="1" s="1"/>
  <c r="G1491" i="1"/>
  <c r="J1491" i="1" s="1"/>
  <c r="F1595" i="1"/>
  <c r="I1595" i="1" s="1"/>
  <c r="H1595" i="1"/>
  <c r="K1595" i="1" s="1"/>
  <c r="G1595" i="1"/>
  <c r="J1595" i="1" s="1"/>
  <c r="F106" i="1"/>
  <c r="I106" i="1" s="1"/>
  <c r="H106" i="1"/>
  <c r="K106" i="1" s="1"/>
  <c r="G106" i="1"/>
  <c r="J106" i="1" s="1"/>
  <c r="F813" i="1"/>
  <c r="I813" i="1" s="1"/>
  <c r="H813" i="1"/>
  <c r="K813" i="1" s="1"/>
  <c r="G813" i="1"/>
  <c r="J813" i="1" s="1"/>
  <c r="F573" i="1"/>
  <c r="I573" i="1" s="1"/>
  <c r="H573" i="1"/>
  <c r="K573" i="1" s="1"/>
  <c r="G573" i="1"/>
  <c r="J573" i="1" s="1"/>
  <c r="F308" i="1"/>
  <c r="I308" i="1" s="1"/>
  <c r="H308" i="1"/>
  <c r="K308" i="1" s="1"/>
  <c r="G308" i="1"/>
  <c r="J308" i="1" s="1"/>
  <c r="F271" i="1"/>
  <c r="I271" i="1" s="1"/>
  <c r="H271" i="1"/>
  <c r="K271" i="1" s="1"/>
  <c r="G271" i="1"/>
  <c r="J271" i="1" s="1"/>
  <c r="F608" i="1"/>
  <c r="I608" i="1" s="1"/>
  <c r="H608" i="1"/>
  <c r="K608" i="1" s="1"/>
  <c r="G608" i="1"/>
  <c r="J608" i="1" s="1"/>
  <c r="F497" i="1"/>
  <c r="I497" i="1" s="1"/>
  <c r="H497" i="1"/>
  <c r="K497" i="1" s="1"/>
  <c r="G497" i="1"/>
  <c r="J497" i="1" s="1"/>
  <c r="F236" i="1"/>
  <c r="I236" i="1" s="1"/>
  <c r="G236" i="1"/>
  <c r="J236" i="1" s="1"/>
  <c r="H236" i="1"/>
  <c r="K236" i="1" s="1"/>
  <c r="F556" i="1"/>
  <c r="I556" i="1" s="1"/>
  <c r="H556" i="1"/>
  <c r="K556" i="1" s="1"/>
  <c r="G556" i="1"/>
  <c r="J556" i="1" s="1"/>
  <c r="F499" i="1"/>
  <c r="I499" i="1" s="1"/>
  <c r="H499" i="1"/>
  <c r="K499" i="1" s="1"/>
  <c r="G499" i="1"/>
  <c r="J499" i="1" s="1"/>
  <c r="F1356" i="1"/>
  <c r="I1356" i="1" s="1"/>
  <c r="H1356" i="1"/>
  <c r="K1356" i="1" s="1"/>
  <c r="G1356" i="1"/>
  <c r="J1356" i="1" s="1"/>
  <c r="F1128" i="1"/>
  <c r="I1128" i="1" s="1"/>
  <c r="H1128" i="1"/>
  <c r="K1128" i="1" s="1"/>
  <c r="G1128" i="1"/>
  <c r="J1128" i="1" s="1"/>
  <c r="F649" i="1"/>
  <c r="I649" i="1" s="1"/>
  <c r="H649" i="1"/>
  <c r="K649" i="1" s="1"/>
  <c r="G649" i="1"/>
  <c r="J649" i="1" s="1"/>
  <c r="F95" i="1"/>
  <c r="I95" i="1" s="1"/>
  <c r="H95" i="1"/>
  <c r="K95" i="1" s="1"/>
  <c r="G95" i="1"/>
  <c r="J95" i="1" s="1"/>
  <c r="F879" i="1"/>
  <c r="I879" i="1" s="1"/>
  <c r="G879" i="1"/>
  <c r="J879" i="1" s="1"/>
  <c r="H879" i="1"/>
  <c r="K879" i="1" s="1"/>
  <c r="F15" i="1"/>
  <c r="I15" i="1" s="1"/>
  <c r="H15" i="1"/>
  <c r="K15" i="1" s="1"/>
  <c r="G15" i="1"/>
  <c r="J15" i="1" s="1"/>
  <c r="F1377" i="1"/>
  <c r="I1377" i="1" s="1"/>
  <c r="H1377" i="1"/>
  <c r="K1377" i="1" s="1"/>
  <c r="G1377" i="1"/>
  <c r="J1377" i="1" s="1"/>
  <c r="F898" i="1"/>
  <c r="I898" i="1" s="1"/>
  <c r="H898" i="1"/>
  <c r="K898" i="1" s="1"/>
  <c r="G898" i="1"/>
  <c r="J898" i="1" s="1"/>
  <c r="F344" i="1"/>
  <c r="I344" i="1" s="1"/>
  <c r="H344" i="1"/>
  <c r="K344" i="1" s="1"/>
  <c r="G344" i="1"/>
  <c r="J344" i="1" s="1"/>
  <c r="F1333" i="1"/>
  <c r="I1333" i="1" s="1"/>
  <c r="G1333" i="1"/>
  <c r="J1333" i="1" s="1"/>
  <c r="H1333" i="1"/>
  <c r="K1333" i="1" s="1"/>
  <c r="F44" i="1"/>
  <c r="I44" i="1" s="1"/>
  <c r="H44" i="1"/>
  <c r="K44" i="1" s="1"/>
  <c r="G44" i="1"/>
  <c r="J44" i="1" s="1"/>
  <c r="F673" i="1"/>
  <c r="I673" i="1" s="1"/>
  <c r="H673" i="1"/>
  <c r="K673" i="1" s="1"/>
  <c r="G673" i="1"/>
  <c r="J673" i="1" s="1"/>
  <c r="F1044" i="1"/>
  <c r="I1044" i="1" s="1"/>
  <c r="H1044" i="1"/>
  <c r="K1044" i="1" s="1"/>
  <c r="G1044" i="1"/>
  <c r="J1044" i="1" s="1"/>
  <c r="F1472" i="1"/>
  <c r="I1472" i="1" s="1"/>
  <c r="H1472" i="1"/>
  <c r="K1472" i="1" s="1"/>
  <c r="G1472" i="1"/>
  <c r="J1472" i="1" s="1"/>
  <c r="F203" i="1"/>
  <c r="I203" i="1" s="1"/>
  <c r="G203" i="1"/>
  <c r="J203" i="1" s="1"/>
  <c r="H203" i="1"/>
  <c r="K203" i="1" s="1"/>
  <c r="F16" i="1"/>
  <c r="I16" i="1" s="1"/>
  <c r="G16" i="1"/>
  <c r="J16" i="1" s="1"/>
  <c r="H16" i="1"/>
  <c r="K16" i="1" s="1"/>
  <c r="F298" i="1"/>
  <c r="I298" i="1" s="1"/>
  <c r="H298" i="1"/>
  <c r="K298" i="1" s="1"/>
  <c r="G298" i="1"/>
  <c r="J298" i="1" s="1"/>
  <c r="F340" i="1"/>
  <c r="I340" i="1" s="1"/>
  <c r="H340" i="1"/>
  <c r="K340" i="1" s="1"/>
  <c r="G340" i="1"/>
  <c r="J340" i="1" s="1"/>
  <c r="F66" i="1"/>
  <c r="I66" i="1" s="1"/>
  <c r="H66" i="1"/>
  <c r="K66" i="1" s="1"/>
  <c r="G66" i="1"/>
  <c r="J66" i="1" s="1"/>
  <c r="F1193" i="1"/>
  <c r="I1193" i="1" s="1"/>
  <c r="H1193" i="1"/>
  <c r="K1193" i="1" s="1"/>
  <c r="G1193" i="1"/>
  <c r="J1193" i="1" s="1"/>
  <c r="F9" i="1"/>
  <c r="I9" i="1" s="1"/>
  <c r="H9" i="1"/>
  <c r="K9" i="1" s="1"/>
  <c r="G9" i="1"/>
  <c r="J9" i="1" s="1"/>
  <c r="F347" i="1"/>
  <c r="I347" i="1" s="1"/>
  <c r="H347" i="1"/>
  <c r="K347" i="1" s="1"/>
  <c r="G347" i="1"/>
  <c r="J347" i="1" s="1"/>
  <c r="F160" i="1"/>
  <c r="I160" i="1" s="1"/>
  <c r="H160" i="1"/>
  <c r="K160" i="1" s="1"/>
  <c r="G160" i="1"/>
  <c r="J160" i="1" s="1"/>
  <c r="F788" i="1"/>
  <c r="I788" i="1" s="1"/>
  <c r="G788" i="1"/>
  <c r="J788" i="1" s="1"/>
  <c r="H788" i="1"/>
  <c r="K788" i="1" s="1"/>
  <c r="F620" i="1"/>
  <c r="I620" i="1" s="1"/>
  <c r="G620" i="1"/>
  <c r="J620" i="1" s="1"/>
  <c r="H620" i="1"/>
  <c r="K620" i="1" s="1"/>
  <c r="F364" i="1"/>
  <c r="I364" i="1" s="1"/>
  <c r="G364" i="1"/>
  <c r="J364" i="1" s="1"/>
  <c r="H364" i="1"/>
  <c r="K364" i="1" s="1"/>
  <c r="F1337" i="1"/>
  <c r="I1337" i="1" s="1"/>
  <c r="G1337" i="1"/>
  <c r="J1337" i="1" s="1"/>
  <c r="H1337" i="1"/>
  <c r="K1337" i="1" s="1"/>
  <c r="F153" i="1"/>
  <c r="I153" i="1" s="1"/>
  <c r="G153" i="1"/>
  <c r="J153" i="1" s="1"/>
  <c r="H153" i="1"/>
  <c r="K153" i="1" s="1"/>
  <c r="F491" i="1"/>
  <c r="I491" i="1" s="1"/>
  <c r="G491" i="1"/>
  <c r="J491" i="1" s="1"/>
  <c r="H491" i="1"/>
  <c r="K491" i="1" s="1"/>
  <c r="F304" i="1"/>
  <c r="I304" i="1" s="1"/>
  <c r="G304" i="1"/>
  <c r="J304" i="1" s="1"/>
  <c r="H304" i="1"/>
  <c r="K304" i="1" s="1"/>
  <c r="F1095" i="1"/>
  <c r="I1095" i="1" s="1"/>
  <c r="H1095" i="1"/>
  <c r="K1095" i="1" s="1"/>
  <c r="G1095" i="1"/>
  <c r="J1095" i="1" s="1"/>
  <c r="F817" i="1"/>
  <c r="I817" i="1" s="1"/>
  <c r="H817" i="1"/>
  <c r="K817" i="1" s="1"/>
  <c r="G817" i="1"/>
  <c r="J817" i="1" s="1"/>
  <c r="F635" i="1"/>
  <c r="I635" i="1" s="1"/>
  <c r="H635" i="1"/>
  <c r="K635" i="1" s="1"/>
  <c r="G635" i="1"/>
  <c r="J635" i="1" s="1"/>
  <c r="F89" i="1"/>
  <c r="I89" i="1" s="1"/>
  <c r="G89" i="1"/>
  <c r="J89" i="1" s="1"/>
  <c r="H89" i="1"/>
  <c r="K89" i="1" s="1"/>
  <c r="F297" i="1"/>
  <c r="I297" i="1" s="1"/>
  <c r="H297" i="1"/>
  <c r="K297" i="1" s="1"/>
  <c r="G297" i="1"/>
  <c r="J297" i="1" s="1"/>
  <c r="F60" i="1"/>
  <c r="I60" i="1" s="1"/>
  <c r="H60" i="1"/>
  <c r="K60" i="1" s="1"/>
  <c r="G60" i="1"/>
  <c r="J60" i="1" s="1"/>
  <c r="F448" i="1"/>
  <c r="I448" i="1" s="1"/>
  <c r="H448" i="1"/>
  <c r="K448" i="1" s="1"/>
  <c r="G448" i="1"/>
  <c r="J448" i="1" s="1"/>
  <c r="F357" i="1"/>
  <c r="I357" i="1" s="1"/>
  <c r="H357" i="1"/>
  <c r="K357" i="1" s="1"/>
  <c r="G357" i="1"/>
  <c r="J357" i="1" s="1"/>
  <c r="F849" i="1"/>
  <c r="I849" i="1" s="1"/>
  <c r="H849" i="1"/>
  <c r="K849" i="1" s="1"/>
  <c r="G849" i="1"/>
  <c r="J849" i="1" s="1"/>
  <c r="F1248" i="1"/>
  <c r="I1248" i="1" s="1"/>
  <c r="G1248" i="1"/>
  <c r="J1248" i="1" s="1"/>
  <c r="H1248" i="1"/>
  <c r="K1248" i="1" s="1"/>
  <c r="F1499" i="1"/>
  <c r="I1499" i="1" s="1"/>
  <c r="H1499" i="1"/>
  <c r="K1499" i="1" s="1"/>
  <c r="G1499" i="1"/>
  <c r="J1499" i="1" s="1"/>
  <c r="F613" i="1"/>
  <c r="I613" i="1" s="1"/>
  <c r="H613" i="1"/>
  <c r="K613" i="1" s="1"/>
  <c r="G613" i="1"/>
  <c r="J613" i="1" s="1"/>
  <c r="F30" i="1"/>
  <c r="I30" i="1" s="1"/>
  <c r="H30" i="1"/>
  <c r="K30" i="1" s="1"/>
  <c r="G30" i="1"/>
  <c r="J30" i="1" s="1"/>
  <c r="F1520" i="1"/>
  <c r="I1520" i="1" s="1"/>
  <c r="H1520" i="1"/>
  <c r="K1520" i="1" s="1"/>
  <c r="G1520" i="1"/>
  <c r="J1520" i="1" s="1"/>
  <c r="F141" i="1"/>
  <c r="I141" i="1" s="1"/>
  <c r="H141" i="1"/>
  <c r="K141" i="1" s="1"/>
  <c r="G141" i="1"/>
  <c r="J141" i="1" s="1"/>
  <c r="F69" i="1"/>
  <c r="I69" i="1" s="1"/>
  <c r="H69" i="1"/>
  <c r="K69" i="1" s="1"/>
  <c r="G69" i="1"/>
  <c r="J69" i="1" s="1"/>
  <c r="F63" i="1"/>
  <c r="I63" i="1" s="1"/>
  <c r="H63" i="1"/>
  <c r="K63" i="1" s="1"/>
  <c r="G63" i="1"/>
  <c r="J63" i="1" s="1"/>
  <c r="F548" i="1"/>
  <c r="I548" i="1" s="1"/>
  <c r="H548" i="1"/>
  <c r="K548" i="1" s="1"/>
  <c r="G548" i="1"/>
  <c r="J548" i="1" s="1"/>
  <c r="F1296" i="1"/>
  <c r="I1296" i="1" s="1"/>
  <c r="H1296" i="1"/>
  <c r="K1296" i="1" s="1"/>
  <c r="G1296" i="1"/>
  <c r="J1296" i="1" s="1"/>
  <c r="F1437" i="1"/>
  <c r="I1437" i="1" s="1"/>
  <c r="H1437" i="1"/>
  <c r="K1437" i="1" s="1"/>
  <c r="G1437" i="1"/>
  <c r="J1437" i="1" s="1"/>
  <c r="F37" i="1"/>
  <c r="I37" i="1" s="1"/>
  <c r="H37" i="1"/>
  <c r="K37" i="1" s="1"/>
  <c r="G37" i="1"/>
  <c r="J37" i="1" s="1"/>
  <c r="F1278" i="1"/>
  <c r="I1278" i="1" s="1"/>
  <c r="H1278" i="1"/>
  <c r="K1278" i="1" s="1"/>
  <c r="G1278" i="1"/>
  <c r="J1278" i="1" s="1"/>
  <c r="F1261" i="1"/>
  <c r="I1261" i="1" s="1"/>
  <c r="H1261" i="1"/>
  <c r="K1261" i="1" s="1"/>
  <c r="G1261" i="1"/>
  <c r="J1261" i="1" s="1"/>
  <c r="F922" i="1"/>
  <c r="I922" i="1" s="1"/>
  <c r="H922" i="1"/>
  <c r="K922" i="1" s="1"/>
  <c r="G922" i="1"/>
  <c r="J922" i="1" s="1"/>
  <c r="F611" i="1"/>
  <c r="I611" i="1" s="1"/>
  <c r="G611" i="1"/>
  <c r="J611" i="1" s="1"/>
  <c r="H611" i="1"/>
  <c r="K611" i="1" s="1"/>
  <c r="F732" i="1"/>
  <c r="I732" i="1" s="1"/>
  <c r="H732" i="1"/>
  <c r="K732" i="1" s="1"/>
  <c r="G732" i="1"/>
  <c r="J732" i="1" s="1"/>
  <c r="F399" i="1"/>
  <c r="I399" i="1" s="1"/>
  <c r="G399" i="1"/>
  <c r="J399" i="1" s="1"/>
  <c r="H399" i="1"/>
  <c r="K399" i="1" s="1"/>
  <c r="F1366" i="1"/>
  <c r="I1366" i="1" s="1"/>
  <c r="H1366" i="1"/>
  <c r="K1366" i="1" s="1"/>
  <c r="G1366" i="1"/>
  <c r="J1366" i="1" s="1"/>
  <c r="F1013" i="1"/>
  <c r="I1013" i="1" s="1"/>
  <c r="H1013" i="1"/>
  <c r="K1013" i="1" s="1"/>
  <c r="G1013" i="1"/>
  <c r="J1013" i="1" s="1"/>
  <c r="F1361" i="1"/>
  <c r="I1361" i="1" s="1"/>
  <c r="H1361" i="1"/>
  <c r="K1361" i="1" s="1"/>
  <c r="G1361" i="1"/>
  <c r="J1361" i="1" s="1"/>
  <c r="F284" i="1"/>
  <c r="I284" i="1" s="1"/>
  <c r="H284" i="1"/>
  <c r="K284" i="1" s="1"/>
  <c r="G284" i="1"/>
  <c r="J284" i="1" s="1"/>
  <c r="F76" i="1"/>
  <c r="I76" i="1" s="1"/>
  <c r="H76" i="1"/>
  <c r="K76" i="1" s="1"/>
  <c r="G76" i="1"/>
  <c r="J76" i="1" s="1"/>
  <c r="F384" i="1"/>
  <c r="I384" i="1" s="1"/>
  <c r="H384" i="1"/>
  <c r="K384" i="1" s="1"/>
  <c r="G384" i="1"/>
  <c r="J384" i="1" s="1"/>
  <c r="F1211" i="1"/>
  <c r="I1211" i="1" s="1"/>
  <c r="H1211" i="1"/>
  <c r="K1211" i="1" s="1"/>
  <c r="G1211" i="1"/>
  <c r="J1211" i="1" s="1"/>
  <c r="F1205" i="1"/>
  <c r="I1205" i="1" s="1"/>
  <c r="H1205" i="1"/>
  <c r="K1205" i="1" s="1"/>
  <c r="G1205" i="1"/>
  <c r="J1205" i="1" s="1"/>
  <c r="F1311" i="1"/>
  <c r="I1311" i="1" s="1"/>
  <c r="H1311" i="1"/>
  <c r="K1311" i="1" s="1"/>
  <c r="G1311" i="1"/>
  <c r="J1311" i="1" s="1"/>
  <c r="F619" i="1"/>
  <c r="I619" i="1" s="1"/>
  <c r="H619" i="1"/>
  <c r="K619" i="1" s="1"/>
  <c r="G619" i="1"/>
  <c r="J619" i="1" s="1"/>
  <c r="F930" i="1"/>
  <c r="I930" i="1" s="1"/>
  <c r="H930" i="1"/>
  <c r="K930" i="1" s="1"/>
  <c r="G930" i="1"/>
  <c r="J930" i="1" s="1"/>
  <c r="F105" i="1"/>
  <c r="I105" i="1" s="1"/>
  <c r="H105" i="1"/>
  <c r="K105" i="1" s="1"/>
  <c r="G105" i="1"/>
  <c r="J105" i="1" s="1"/>
  <c r="F171" i="1"/>
  <c r="I171" i="1" s="1"/>
  <c r="G171" i="1"/>
  <c r="J171" i="1" s="1"/>
  <c r="H171" i="1"/>
  <c r="K171" i="1" s="1"/>
  <c r="F1203" i="1"/>
  <c r="I1203" i="1" s="1"/>
  <c r="H1203" i="1"/>
  <c r="K1203" i="1" s="1"/>
  <c r="G1203" i="1"/>
  <c r="J1203" i="1" s="1"/>
  <c r="F148" i="1"/>
  <c r="I148" i="1" s="1"/>
  <c r="H148" i="1"/>
  <c r="K148" i="1" s="1"/>
  <c r="G148" i="1"/>
  <c r="J148" i="1" s="1"/>
  <c r="F1208" i="1"/>
  <c r="I1208" i="1" s="1"/>
  <c r="H1208" i="1"/>
  <c r="K1208" i="1" s="1"/>
  <c r="G1208" i="1"/>
  <c r="J1208" i="1" s="1"/>
  <c r="F199" i="1"/>
  <c r="I199" i="1" s="1"/>
  <c r="H199" i="1"/>
  <c r="K199" i="1" s="1"/>
  <c r="G199" i="1"/>
  <c r="J199" i="1" s="1"/>
  <c r="F1581" i="1"/>
  <c r="I1581" i="1" s="1"/>
  <c r="H1581" i="1"/>
  <c r="K1581" i="1" s="1"/>
  <c r="G1581" i="1"/>
  <c r="J1581" i="1" s="1"/>
  <c r="F70" i="1"/>
  <c r="I70" i="1" s="1"/>
  <c r="H70" i="1"/>
  <c r="K70" i="1" s="1"/>
  <c r="G70" i="1"/>
  <c r="J70" i="1" s="1"/>
  <c r="F459" i="1"/>
  <c r="I459" i="1" s="1"/>
  <c r="H459" i="1"/>
  <c r="K459" i="1" s="1"/>
  <c r="G459" i="1"/>
  <c r="J459" i="1" s="1"/>
  <c r="F972" i="1"/>
  <c r="I972" i="1" s="1"/>
  <c r="H972" i="1"/>
  <c r="K972" i="1" s="1"/>
  <c r="G972" i="1"/>
  <c r="J972" i="1" s="1"/>
  <c r="F1228" i="1"/>
  <c r="I1228" i="1" s="1"/>
  <c r="H1228" i="1"/>
  <c r="K1228" i="1" s="1"/>
  <c r="G1228" i="1"/>
  <c r="J1228" i="1" s="1"/>
  <c r="F1090" i="1"/>
  <c r="I1090" i="1" s="1"/>
  <c r="H1090" i="1"/>
  <c r="K1090" i="1" s="1"/>
  <c r="G1090" i="1"/>
  <c r="J1090" i="1" s="1"/>
  <c r="F1252" i="1"/>
  <c r="I1252" i="1" s="1"/>
  <c r="H1252" i="1"/>
  <c r="K1252" i="1" s="1"/>
  <c r="G1252" i="1"/>
  <c r="J1252" i="1" s="1"/>
  <c r="F361" i="1"/>
  <c r="I361" i="1" s="1"/>
  <c r="H361" i="1"/>
  <c r="K361" i="1" s="1"/>
  <c r="G361" i="1"/>
  <c r="J361" i="1" s="1"/>
  <c r="F28" i="1"/>
  <c r="I28" i="1" s="1"/>
  <c r="H28" i="1"/>
  <c r="K28" i="1" s="1"/>
  <c r="G28" i="1"/>
  <c r="J28" i="1" s="1"/>
  <c r="F300" i="1"/>
  <c r="I300" i="1" s="1"/>
  <c r="H300" i="1"/>
  <c r="K300" i="1" s="1"/>
  <c r="G300" i="1"/>
  <c r="J300" i="1" s="1"/>
  <c r="F1456" i="1"/>
  <c r="I1456" i="1" s="1"/>
  <c r="H1456" i="1"/>
  <c r="K1456" i="1" s="1"/>
  <c r="G1456" i="1"/>
  <c r="J1456" i="1" s="1"/>
  <c r="F249" i="1"/>
  <c r="I249" i="1" s="1"/>
  <c r="H249" i="1"/>
  <c r="K249" i="1" s="1"/>
  <c r="G249" i="1"/>
  <c r="J249" i="1" s="1"/>
  <c r="F242" i="1"/>
  <c r="I242" i="1" s="1"/>
  <c r="H242" i="1"/>
  <c r="K242" i="1" s="1"/>
  <c r="G242" i="1"/>
  <c r="J242" i="1" s="1"/>
  <c r="F1526" i="1"/>
  <c r="I1526" i="1" s="1"/>
  <c r="H1526" i="1"/>
  <c r="K1526" i="1" s="1"/>
  <c r="G1526" i="1"/>
  <c r="J1526" i="1" s="1"/>
  <c r="F1522" i="1"/>
  <c r="I1522" i="1" s="1"/>
  <c r="H1522" i="1"/>
  <c r="K1522" i="1" s="1"/>
  <c r="G1522" i="1"/>
  <c r="J1522" i="1" s="1"/>
  <c r="F533" i="1"/>
  <c r="I533" i="1" s="1"/>
  <c r="H533" i="1"/>
  <c r="K533" i="1" s="1"/>
  <c r="G533" i="1"/>
  <c r="J533" i="1" s="1"/>
  <c r="F764" i="1"/>
  <c r="I764" i="1" s="1"/>
  <c r="H764" i="1"/>
  <c r="K764" i="1" s="1"/>
  <c r="G764" i="1"/>
  <c r="J764" i="1" s="1"/>
  <c r="F84" i="1"/>
  <c r="I84" i="1" s="1"/>
  <c r="H84" i="1"/>
  <c r="K84" i="1" s="1"/>
  <c r="G84" i="1"/>
  <c r="J84" i="1" s="1"/>
  <c r="F1126" i="1"/>
  <c r="I1126" i="1" s="1"/>
  <c r="H1126" i="1"/>
  <c r="K1126" i="1" s="1"/>
  <c r="G1126" i="1"/>
  <c r="J1126" i="1" s="1"/>
  <c r="F1251" i="1"/>
  <c r="I1251" i="1" s="1"/>
  <c r="H1251" i="1"/>
  <c r="K1251" i="1" s="1"/>
  <c r="G1251" i="1"/>
  <c r="J1251" i="1" s="1"/>
  <c r="F1397" i="1"/>
  <c r="I1397" i="1" s="1"/>
  <c r="H1397" i="1"/>
  <c r="K1397" i="1" s="1"/>
  <c r="G1397" i="1"/>
  <c r="J1397" i="1" s="1"/>
  <c r="F1301" i="1"/>
  <c r="I1301" i="1" s="1"/>
  <c r="H1301" i="1"/>
  <c r="K1301" i="1" s="1"/>
  <c r="G1301" i="1"/>
  <c r="J1301" i="1" s="1"/>
  <c r="F496" i="1"/>
  <c r="I496" i="1" s="1"/>
  <c r="H496" i="1"/>
  <c r="K496" i="1" s="1"/>
  <c r="G496" i="1"/>
  <c r="J496" i="1" s="1"/>
  <c r="F210" i="1"/>
  <c r="I210" i="1" s="1"/>
  <c r="H210" i="1"/>
  <c r="K210" i="1" s="1"/>
  <c r="G210" i="1"/>
  <c r="J210" i="1" s="1"/>
  <c r="F98" i="1"/>
  <c r="I98" i="1" s="1"/>
  <c r="H98" i="1"/>
  <c r="K98" i="1" s="1"/>
  <c r="G98" i="1"/>
  <c r="J98" i="1" s="1"/>
  <c r="F79" i="1"/>
  <c r="I79" i="1" s="1"/>
  <c r="H79" i="1"/>
  <c r="K79" i="1" s="1"/>
  <c r="G79" i="1"/>
  <c r="J79" i="1" s="1"/>
  <c r="F80" i="1"/>
  <c r="I80" i="1" s="1"/>
  <c r="H80" i="1"/>
  <c r="K80" i="1" s="1"/>
  <c r="G80" i="1"/>
  <c r="J80" i="1" s="1"/>
  <c r="F796" i="1"/>
  <c r="I796" i="1" s="1"/>
  <c r="H796" i="1"/>
  <c r="K796" i="1" s="1"/>
  <c r="G796" i="1"/>
  <c r="J796" i="1" s="1"/>
  <c r="F549" i="1"/>
  <c r="I549" i="1" s="1"/>
  <c r="H549" i="1"/>
  <c r="K549" i="1" s="1"/>
  <c r="G549" i="1"/>
  <c r="J549" i="1" s="1"/>
  <c r="F294" i="1"/>
  <c r="I294" i="1" s="1"/>
  <c r="H294" i="1"/>
  <c r="K294" i="1" s="1"/>
  <c r="G294" i="1"/>
  <c r="J294" i="1" s="1"/>
  <c r="F259" i="1"/>
  <c r="I259" i="1" s="1"/>
  <c r="H259" i="1"/>
  <c r="K259" i="1" s="1"/>
  <c r="G259" i="1"/>
  <c r="J259" i="1" s="1"/>
  <c r="F1127" i="1"/>
  <c r="I1127" i="1" s="1"/>
  <c r="H1127" i="1"/>
  <c r="K1127" i="1" s="1"/>
  <c r="G1127" i="1"/>
  <c r="J1127" i="1" s="1"/>
  <c r="F889" i="1"/>
  <c r="I889" i="1" s="1"/>
  <c r="H889" i="1"/>
  <c r="K889" i="1" s="1"/>
  <c r="G889" i="1"/>
  <c r="J889" i="1" s="1"/>
  <c r="F440" i="1"/>
  <c r="I440" i="1" s="1"/>
  <c r="H440" i="1"/>
  <c r="K440" i="1" s="1"/>
  <c r="G440" i="1"/>
  <c r="J440" i="1" s="1"/>
  <c r="F919" i="1"/>
  <c r="I919" i="1" s="1"/>
  <c r="H919" i="1"/>
  <c r="K919" i="1" s="1"/>
  <c r="G919" i="1"/>
  <c r="J919" i="1" s="1"/>
  <c r="F1405" i="1"/>
  <c r="I1405" i="1" s="1"/>
  <c r="H1405" i="1"/>
  <c r="K1405" i="1" s="1"/>
  <c r="G1405" i="1"/>
  <c r="J1405" i="1" s="1"/>
  <c r="F1342" i="1"/>
  <c r="I1342" i="1" s="1"/>
  <c r="G1342" i="1"/>
  <c r="J1342" i="1" s="1"/>
  <c r="H1342" i="1"/>
  <c r="K1342" i="1" s="1"/>
  <c r="F1115" i="1"/>
  <c r="I1115" i="1" s="1"/>
  <c r="G1115" i="1"/>
  <c r="J1115" i="1" s="1"/>
  <c r="H1115" i="1"/>
  <c r="K1115" i="1" s="1"/>
  <c r="F636" i="1"/>
  <c r="I636" i="1" s="1"/>
  <c r="H636" i="1"/>
  <c r="K636" i="1" s="1"/>
  <c r="G636" i="1"/>
  <c r="J636" i="1" s="1"/>
  <c r="F82" i="1"/>
  <c r="I82" i="1" s="1"/>
  <c r="H82" i="1"/>
  <c r="K82" i="1" s="1"/>
  <c r="G82" i="1"/>
  <c r="J82" i="1" s="1"/>
  <c r="F1162" i="1"/>
  <c r="I1162" i="1" s="1"/>
  <c r="H1162" i="1"/>
  <c r="K1162" i="1" s="1"/>
  <c r="G1162" i="1"/>
  <c r="J1162" i="1" s="1"/>
  <c r="F833" i="1"/>
  <c r="I833" i="1" s="1"/>
  <c r="H833" i="1"/>
  <c r="K833" i="1" s="1"/>
  <c r="G833" i="1"/>
  <c r="J833" i="1" s="1"/>
  <c r="F389" i="1"/>
  <c r="I389" i="1" s="1"/>
  <c r="H389" i="1"/>
  <c r="K389" i="1" s="1"/>
  <c r="G389" i="1"/>
  <c r="J389" i="1" s="1"/>
  <c r="F857" i="1"/>
  <c r="I857" i="1" s="1"/>
  <c r="H857" i="1"/>
  <c r="K857" i="1" s="1"/>
  <c r="G857" i="1"/>
  <c r="J857" i="1" s="1"/>
  <c r="F1328" i="1"/>
  <c r="I1328" i="1" s="1"/>
  <c r="H1328" i="1"/>
  <c r="K1328" i="1" s="1"/>
  <c r="G1328" i="1"/>
  <c r="J1328" i="1" s="1"/>
  <c r="F46" i="1"/>
  <c r="I46" i="1" s="1"/>
  <c r="H46" i="1"/>
  <c r="K46" i="1" s="1"/>
  <c r="G46" i="1"/>
  <c r="J46" i="1" s="1"/>
  <c r="F895" i="1"/>
  <c r="I895" i="1" s="1"/>
  <c r="H895" i="1"/>
  <c r="K895" i="1" s="1"/>
  <c r="G895" i="1"/>
  <c r="J895" i="1" s="1"/>
  <c r="F1319" i="1"/>
  <c r="I1319" i="1" s="1"/>
  <c r="H1319" i="1"/>
  <c r="K1319" i="1" s="1"/>
  <c r="G1319" i="1"/>
  <c r="J1319" i="1" s="1"/>
  <c r="F17" i="1"/>
  <c r="I17" i="1" s="1"/>
  <c r="H17" i="1"/>
  <c r="K17" i="1" s="1"/>
  <c r="G17" i="1"/>
  <c r="J17" i="1" s="1"/>
  <c r="F654" i="1"/>
  <c r="I654" i="1" s="1"/>
  <c r="H654" i="1"/>
  <c r="K654" i="1" s="1"/>
  <c r="G654" i="1"/>
  <c r="J654" i="1" s="1"/>
  <c r="F1030" i="1"/>
  <c r="I1030" i="1" s="1"/>
  <c r="H1030" i="1"/>
  <c r="K1030" i="1" s="1"/>
  <c r="G1030" i="1"/>
  <c r="J1030" i="1" s="1"/>
  <c r="F1460" i="1"/>
  <c r="I1460" i="1" s="1"/>
  <c r="G1460" i="1"/>
  <c r="J1460" i="1" s="1"/>
  <c r="H1460" i="1"/>
  <c r="K1460" i="1" s="1"/>
  <c r="F190" i="1"/>
  <c r="I190" i="1" s="1"/>
  <c r="H190" i="1"/>
  <c r="K190" i="1" s="1"/>
  <c r="G190" i="1"/>
  <c r="J190" i="1" s="1"/>
  <c r="H3" i="1"/>
  <c r="K3" i="1" s="1"/>
  <c r="G3" i="1"/>
  <c r="J3" i="1" s="1"/>
  <c r="F3" i="1"/>
  <c r="I3" i="1" s="1"/>
  <c r="F245" i="1"/>
  <c r="I245" i="1" s="1"/>
  <c r="H245" i="1"/>
  <c r="K245" i="1" s="1"/>
  <c r="G245" i="1"/>
  <c r="J245" i="1" s="1"/>
  <c r="F314" i="1"/>
  <c r="I314" i="1" s="1"/>
  <c r="H314" i="1"/>
  <c r="K314" i="1" s="1"/>
  <c r="G314" i="1"/>
  <c r="J314" i="1" s="1"/>
  <c r="F40" i="1"/>
  <c r="I40" i="1" s="1"/>
  <c r="H40" i="1"/>
  <c r="K40" i="1" s="1"/>
  <c r="G40" i="1"/>
  <c r="J40" i="1" s="1"/>
  <c r="F1180" i="1"/>
  <c r="I1180" i="1" s="1"/>
  <c r="H1180" i="1"/>
  <c r="K1180" i="1" s="1"/>
  <c r="G1180" i="1"/>
  <c r="J1180" i="1" s="1"/>
  <c r="F1592" i="1"/>
  <c r="I1592" i="1" s="1"/>
  <c r="H1592" i="1"/>
  <c r="K1592" i="1" s="1"/>
  <c r="G1592" i="1"/>
  <c r="J1592" i="1" s="1"/>
  <c r="F334" i="1"/>
  <c r="I334" i="1" s="1"/>
  <c r="G334" i="1"/>
  <c r="J334" i="1" s="1"/>
  <c r="H334" i="1"/>
  <c r="K334" i="1" s="1"/>
  <c r="F147" i="1"/>
  <c r="I147" i="1" s="1"/>
  <c r="H147" i="1"/>
  <c r="K147" i="1" s="1"/>
  <c r="G147" i="1"/>
  <c r="J147" i="1" s="1"/>
  <c r="F755" i="1"/>
  <c r="I755" i="1" s="1"/>
  <c r="H755" i="1"/>
  <c r="K755" i="1" s="1"/>
  <c r="G755" i="1"/>
  <c r="J755" i="1" s="1"/>
  <c r="F601" i="1"/>
  <c r="I601" i="1" s="1"/>
  <c r="H601" i="1"/>
  <c r="K601" i="1" s="1"/>
  <c r="G601" i="1"/>
  <c r="J601" i="1" s="1"/>
  <c r="F338" i="1"/>
  <c r="I338" i="1" s="1"/>
  <c r="H338" i="1"/>
  <c r="K338" i="1" s="1"/>
  <c r="G338" i="1"/>
  <c r="J338" i="1" s="1"/>
  <c r="F1324" i="1"/>
  <c r="I1324" i="1" s="1"/>
  <c r="H1324" i="1"/>
  <c r="K1324" i="1" s="1"/>
  <c r="G1324" i="1"/>
  <c r="J1324" i="1" s="1"/>
  <c r="F140" i="1"/>
  <c r="I140" i="1" s="1"/>
  <c r="H140" i="1"/>
  <c r="K140" i="1" s="1"/>
  <c r="G140" i="1"/>
  <c r="J140" i="1" s="1"/>
  <c r="F478" i="1"/>
  <c r="I478" i="1" s="1"/>
  <c r="H478" i="1"/>
  <c r="K478" i="1" s="1"/>
  <c r="G478" i="1"/>
  <c r="J478" i="1" s="1"/>
  <c r="F291" i="1"/>
  <c r="I291" i="1" s="1"/>
  <c r="H291" i="1"/>
  <c r="K291" i="1" s="1"/>
  <c r="G291" i="1"/>
  <c r="J291" i="1" s="1"/>
  <c r="F864" i="1"/>
  <c r="I864" i="1" s="1"/>
  <c r="H864" i="1"/>
  <c r="K864" i="1" s="1"/>
  <c r="G864" i="1"/>
  <c r="J864" i="1" s="1"/>
  <c r="F107" i="1"/>
  <c r="I107" i="1" s="1"/>
  <c r="H107" i="1"/>
  <c r="K107" i="1" s="1"/>
  <c r="G107" i="1"/>
  <c r="J107" i="1" s="1"/>
  <c r="F376" i="1"/>
  <c r="I376" i="1" s="1"/>
  <c r="H376" i="1"/>
  <c r="K376" i="1" s="1"/>
  <c r="G376" i="1"/>
  <c r="J376" i="1" s="1"/>
  <c r="F950" i="1"/>
  <c r="I950" i="1" s="1"/>
  <c r="H950" i="1"/>
  <c r="K950" i="1" s="1"/>
  <c r="G950" i="1"/>
  <c r="J950" i="1" s="1"/>
  <c r="F137" i="1"/>
  <c r="I137" i="1" s="1"/>
  <c r="H137" i="1"/>
  <c r="K137" i="1" s="1"/>
  <c r="G137" i="1"/>
  <c r="J137" i="1" s="1"/>
  <c r="F1159" i="1"/>
  <c r="I1159" i="1" s="1"/>
  <c r="H1159" i="1"/>
  <c r="K1159" i="1" s="1"/>
  <c r="G1159" i="1"/>
  <c r="J1159" i="1" s="1"/>
  <c r="F1188" i="1"/>
  <c r="I1188" i="1" s="1"/>
  <c r="H1188" i="1"/>
  <c r="K1188" i="1" s="1"/>
  <c r="G1188" i="1"/>
  <c r="J1188" i="1" s="1"/>
  <c r="F1247" i="1"/>
  <c r="I1247" i="1" s="1"/>
  <c r="G1247" i="1"/>
  <c r="J1247" i="1" s="1"/>
  <c r="H1247" i="1"/>
  <c r="K1247" i="1" s="1"/>
  <c r="F1220" i="1"/>
  <c r="I1220" i="1" s="1"/>
  <c r="H1220" i="1"/>
  <c r="K1220" i="1" s="1"/>
  <c r="G1220" i="1"/>
  <c r="J1220" i="1" s="1"/>
  <c r="F296" i="1"/>
  <c r="I296" i="1" s="1"/>
  <c r="H296" i="1"/>
  <c r="K296" i="1" s="1"/>
  <c r="G296" i="1"/>
  <c r="J296" i="1" s="1"/>
  <c r="F1001" i="1"/>
  <c r="I1001" i="1" s="1"/>
  <c r="H1001" i="1"/>
  <c r="K1001" i="1" s="1"/>
  <c r="G1001" i="1"/>
  <c r="J1001" i="1" s="1"/>
  <c r="F835" i="1"/>
  <c r="I835" i="1" s="1"/>
  <c r="H835" i="1"/>
  <c r="K835" i="1" s="1"/>
  <c r="G835" i="1"/>
  <c r="J835" i="1" s="1"/>
  <c r="F1236" i="1"/>
  <c r="I1236" i="1" s="1"/>
  <c r="H1236" i="1"/>
  <c r="K1236" i="1" s="1"/>
  <c r="G1236" i="1"/>
  <c r="J1236" i="1" s="1"/>
  <c r="F1329" i="1"/>
  <c r="I1329" i="1" s="1"/>
  <c r="H1329" i="1"/>
  <c r="K1329" i="1" s="1"/>
  <c r="G1329" i="1"/>
  <c r="J1329" i="1" s="1"/>
  <c r="F1216" i="1"/>
  <c r="I1216" i="1" s="1"/>
  <c r="H1216" i="1"/>
  <c r="K1216" i="1" s="1"/>
  <c r="G1216" i="1"/>
  <c r="J1216" i="1" s="1"/>
  <c r="F1011" i="1"/>
  <c r="I1011" i="1" s="1"/>
  <c r="H1011" i="1"/>
  <c r="K1011" i="1" s="1"/>
  <c r="G1011" i="1"/>
  <c r="J1011" i="1" s="1"/>
  <c r="F50" i="1"/>
  <c r="I50" i="1" s="1"/>
  <c r="H50" i="1"/>
  <c r="K50" i="1" s="1"/>
  <c r="G50" i="1"/>
  <c r="J50" i="1" s="1"/>
  <c r="F1053" i="1"/>
  <c r="I1053" i="1" s="1"/>
  <c r="H1053" i="1"/>
  <c r="K1053" i="1" s="1"/>
  <c r="G1053" i="1"/>
  <c r="J1053" i="1" s="1"/>
  <c r="F312" i="1"/>
  <c r="I312" i="1" s="1"/>
  <c r="H312" i="1"/>
  <c r="K312" i="1" s="1"/>
  <c r="G312" i="1"/>
  <c r="J312" i="1" s="1"/>
  <c r="F443" i="1"/>
  <c r="I443" i="1" s="1"/>
  <c r="H443" i="1"/>
  <c r="K443" i="1" s="1"/>
  <c r="G443" i="1"/>
  <c r="J443" i="1" s="1"/>
  <c r="F1093" i="1"/>
  <c r="I1093" i="1" s="1"/>
  <c r="H1093" i="1"/>
  <c r="K1093" i="1" s="1"/>
  <c r="G1093" i="1"/>
  <c r="J1093" i="1" s="1"/>
  <c r="F1383" i="1"/>
  <c r="I1383" i="1" s="1"/>
  <c r="H1383" i="1"/>
  <c r="K1383" i="1" s="1"/>
  <c r="G1383" i="1"/>
  <c r="J1383" i="1" s="1"/>
  <c r="F523" i="1"/>
  <c r="I523" i="1" s="1"/>
  <c r="H523" i="1"/>
  <c r="K523" i="1" s="1"/>
  <c r="G523" i="1"/>
  <c r="J523" i="1" s="1"/>
  <c r="F690" i="1"/>
  <c r="I690" i="1" s="1"/>
  <c r="H690" i="1"/>
  <c r="K690" i="1" s="1"/>
  <c r="G690" i="1"/>
  <c r="J690" i="1" s="1"/>
  <c r="F642" i="1"/>
  <c r="I642" i="1" s="1"/>
  <c r="H642" i="1"/>
  <c r="K642" i="1" s="1"/>
  <c r="G642" i="1"/>
  <c r="J642" i="1" s="1"/>
  <c r="F1232" i="1"/>
  <c r="I1232" i="1" s="1"/>
  <c r="H1232" i="1"/>
  <c r="K1232" i="1" s="1"/>
  <c r="G1232" i="1"/>
  <c r="J1232" i="1" s="1"/>
  <c r="F982" i="1"/>
  <c r="I982" i="1" s="1"/>
  <c r="H982" i="1"/>
  <c r="K982" i="1" s="1"/>
  <c r="G982" i="1"/>
  <c r="J982" i="1" s="1"/>
  <c r="F1336" i="1"/>
  <c r="I1336" i="1" s="1"/>
  <c r="H1336" i="1"/>
  <c r="K1336" i="1" s="1"/>
  <c r="G1336" i="1"/>
  <c r="J1336" i="1" s="1"/>
  <c r="F54" i="1"/>
  <c r="I54" i="1" s="1"/>
  <c r="H54" i="1"/>
  <c r="K54" i="1" s="1"/>
  <c r="G54" i="1"/>
  <c r="J54" i="1" s="1"/>
  <c r="F267" i="1"/>
  <c r="I267" i="1" s="1"/>
  <c r="H267" i="1"/>
  <c r="K267" i="1" s="1"/>
  <c r="G267" i="1"/>
  <c r="J267" i="1" s="1"/>
  <c r="F56" i="1"/>
  <c r="I56" i="1" s="1"/>
  <c r="H56" i="1"/>
  <c r="K56" i="1" s="1"/>
  <c r="G56" i="1"/>
  <c r="J56" i="1" s="1"/>
  <c r="F42" i="1"/>
  <c r="I42" i="1" s="1"/>
  <c r="H42" i="1"/>
  <c r="K42" i="1" s="1"/>
  <c r="G42" i="1"/>
  <c r="J42" i="1" s="1"/>
  <c r="F1017" i="1"/>
  <c r="I1017" i="1" s="1"/>
  <c r="H1017" i="1"/>
  <c r="K1017" i="1" s="1"/>
  <c r="G1017" i="1"/>
  <c r="J1017" i="1" s="1"/>
  <c r="F717" i="1"/>
  <c r="I717" i="1" s="1"/>
  <c r="H717" i="1"/>
  <c r="K717" i="1" s="1"/>
  <c r="G717" i="1"/>
  <c r="J717" i="1" s="1"/>
  <c r="F508" i="1"/>
  <c r="I508" i="1" s="1"/>
  <c r="H508" i="1"/>
  <c r="K508" i="1" s="1"/>
  <c r="G508" i="1"/>
  <c r="J508" i="1" s="1"/>
  <c r="F1452" i="1"/>
  <c r="I1452" i="1" s="1"/>
  <c r="H1452" i="1"/>
  <c r="K1452" i="1" s="1"/>
  <c r="G1452" i="1"/>
  <c r="J1452" i="1" s="1"/>
  <c r="F955" i="1"/>
  <c r="I955" i="1" s="1"/>
  <c r="H955" i="1"/>
  <c r="K955" i="1" s="1"/>
  <c r="G955" i="1"/>
  <c r="J955" i="1" s="1"/>
  <c r="F1447" i="1"/>
  <c r="I1447" i="1" s="1"/>
  <c r="H1447" i="1"/>
  <c r="K1447" i="1" s="1"/>
  <c r="G1447" i="1"/>
  <c r="J1447" i="1" s="1"/>
  <c r="F1186" i="1"/>
  <c r="I1186" i="1" s="1"/>
  <c r="H1186" i="1"/>
  <c r="K1186" i="1" s="1"/>
  <c r="G1186" i="1"/>
  <c r="J1186" i="1" s="1"/>
  <c r="F1326" i="1"/>
  <c r="I1326" i="1" s="1"/>
  <c r="H1326" i="1"/>
  <c r="K1326" i="1" s="1"/>
  <c r="G1326" i="1"/>
  <c r="J1326" i="1" s="1"/>
  <c r="F229" i="1"/>
  <c r="I229" i="1" s="1"/>
  <c r="H229" i="1"/>
  <c r="K229" i="1" s="1"/>
  <c r="G229" i="1"/>
  <c r="J229" i="1" s="1"/>
  <c r="F161" i="1"/>
  <c r="I161" i="1" s="1"/>
  <c r="H161" i="1"/>
  <c r="K161" i="1" s="1"/>
  <c r="G161" i="1"/>
  <c r="J161" i="1" s="1"/>
  <c r="F569" i="1"/>
  <c r="I569" i="1" s="1"/>
  <c r="G569" i="1"/>
  <c r="J569" i="1" s="1"/>
  <c r="H569" i="1"/>
  <c r="K569" i="1" s="1"/>
  <c r="F911" i="1"/>
  <c r="I911" i="1" s="1"/>
  <c r="H911" i="1"/>
  <c r="K911" i="1" s="1"/>
  <c r="G911" i="1"/>
  <c r="J911" i="1" s="1"/>
  <c r="F454" i="1"/>
  <c r="I454" i="1" s="1"/>
  <c r="H454" i="1"/>
  <c r="K454" i="1" s="1"/>
  <c r="G454" i="1"/>
  <c r="J454" i="1" s="1"/>
  <c r="F1143" i="1"/>
  <c r="I1143" i="1" s="1"/>
  <c r="H1143" i="1"/>
  <c r="K1143" i="1" s="1"/>
  <c r="G1143" i="1"/>
  <c r="J1143" i="1" s="1"/>
  <c r="F1225" i="1"/>
  <c r="I1225" i="1" s="1"/>
  <c r="H1225" i="1"/>
  <c r="K1225" i="1" s="1"/>
  <c r="G1225" i="1"/>
  <c r="J1225" i="1" s="1"/>
  <c r="F1314" i="1"/>
  <c r="I1314" i="1" s="1"/>
  <c r="H1314" i="1"/>
  <c r="K1314" i="1" s="1"/>
  <c r="G1314" i="1"/>
  <c r="J1314" i="1" s="1"/>
  <c r="F351" i="1"/>
  <c r="I351" i="1" s="1"/>
  <c r="H351" i="1"/>
  <c r="K351" i="1" s="1"/>
  <c r="G351" i="1"/>
  <c r="J351" i="1" s="1"/>
  <c r="F61" i="1"/>
  <c r="I61" i="1" s="1"/>
  <c r="G61" i="1"/>
  <c r="J61" i="1" s="1"/>
  <c r="H61" i="1"/>
  <c r="K61" i="1" s="1"/>
  <c r="F522" i="1"/>
  <c r="I522" i="1" s="1"/>
  <c r="H522" i="1"/>
  <c r="K522" i="1" s="1"/>
  <c r="G522" i="1"/>
  <c r="J522" i="1" s="1"/>
  <c r="F918" i="1"/>
  <c r="I918" i="1" s="1"/>
  <c r="G918" i="1"/>
  <c r="J918" i="1" s="1"/>
  <c r="H918" i="1"/>
  <c r="K918" i="1" s="1"/>
  <c r="F892" i="1"/>
  <c r="I892" i="1" s="1"/>
  <c r="H892" i="1"/>
  <c r="K892" i="1" s="1"/>
  <c r="G892" i="1"/>
  <c r="J892" i="1" s="1"/>
  <c r="F1500" i="1"/>
  <c r="I1500" i="1" s="1"/>
  <c r="H1500" i="1"/>
  <c r="K1500" i="1" s="1"/>
  <c r="G1500" i="1"/>
  <c r="J1500" i="1" s="1"/>
  <c r="F1021" i="1"/>
  <c r="I1021" i="1" s="1"/>
  <c r="H1021" i="1"/>
  <c r="K1021" i="1" s="1"/>
  <c r="G1021" i="1"/>
  <c r="J1021" i="1" s="1"/>
  <c r="F957" i="1"/>
  <c r="I957" i="1" s="1"/>
  <c r="H957" i="1"/>
  <c r="K957" i="1" s="1"/>
  <c r="G957" i="1"/>
  <c r="J957" i="1" s="1"/>
  <c r="F948" i="1"/>
  <c r="I948" i="1" s="1"/>
  <c r="H948" i="1"/>
  <c r="K948" i="1" s="1"/>
  <c r="G948" i="1"/>
  <c r="J948" i="1" s="1"/>
  <c r="F718" i="1"/>
  <c r="I718" i="1" s="1"/>
  <c r="H718" i="1"/>
  <c r="K718" i="1" s="1"/>
  <c r="G718" i="1"/>
  <c r="J718" i="1" s="1"/>
  <c r="F1132" i="1"/>
  <c r="I1132" i="1" s="1"/>
  <c r="G1132" i="1"/>
  <c r="J1132" i="1" s="1"/>
  <c r="H1132" i="1"/>
  <c r="K1132" i="1" s="1"/>
  <c r="F1422" i="1"/>
  <c r="I1422" i="1" s="1"/>
  <c r="H1422" i="1"/>
  <c r="K1422" i="1" s="1"/>
  <c r="G1422" i="1"/>
  <c r="J1422" i="1" s="1"/>
  <c r="F806" i="1"/>
  <c r="I806" i="1" s="1"/>
  <c r="H806" i="1"/>
  <c r="K806" i="1" s="1"/>
  <c r="G806" i="1"/>
  <c r="J806" i="1" s="1"/>
  <c r="F639" i="1"/>
  <c r="I639" i="1" s="1"/>
  <c r="H639" i="1"/>
  <c r="K639" i="1" s="1"/>
  <c r="G639" i="1"/>
  <c r="J639" i="1" s="1"/>
  <c r="F652" i="1"/>
  <c r="I652" i="1" s="1"/>
  <c r="H652" i="1"/>
  <c r="K652" i="1" s="1"/>
  <c r="G652" i="1"/>
  <c r="J652" i="1" s="1"/>
  <c r="F658" i="1"/>
  <c r="I658" i="1" s="1"/>
  <c r="H658" i="1"/>
  <c r="K658" i="1" s="1"/>
  <c r="G658" i="1"/>
  <c r="J658" i="1" s="1"/>
  <c r="F887" i="1"/>
  <c r="I887" i="1" s="1"/>
  <c r="H887" i="1"/>
  <c r="K887" i="1" s="1"/>
  <c r="G887" i="1"/>
  <c r="J887" i="1" s="1"/>
  <c r="F702" i="1"/>
  <c r="I702" i="1" s="1"/>
  <c r="H702" i="1"/>
  <c r="K702" i="1" s="1"/>
  <c r="G702" i="1"/>
  <c r="J702" i="1" s="1"/>
  <c r="F878" i="1"/>
  <c r="I878" i="1" s="1"/>
  <c r="H878" i="1"/>
  <c r="K878" i="1" s="1"/>
  <c r="G878" i="1"/>
  <c r="J878" i="1" s="1"/>
  <c r="F1116" i="1"/>
  <c r="I1116" i="1" s="1"/>
  <c r="H1116" i="1"/>
  <c r="K1116" i="1" s="1"/>
  <c r="G1116" i="1"/>
  <c r="J1116" i="1" s="1"/>
  <c r="F516" i="1"/>
  <c r="I516" i="1" s="1"/>
  <c r="H516" i="1"/>
  <c r="K516" i="1" s="1"/>
  <c r="G516" i="1"/>
  <c r="J516" i="1" s="1"/>
  <c r="F805" i="1"/>
  <c r="I805" i="1" s="1"/>
  <c r="H805" i="1"/>
  <c r="K805" i="1" s="1"/>
  <c r="G805" i="1"/>
  <c r="J805" i="1" s="1"/>
  <c r="F1536" i="1"/>
  <c r="I1536" i="1" s="1"/>
  <c r="H1536" i="1"/>
  <c r="K1536" i="1" s="1"/>
  <c r="G1536" i="1"/>
  <c r="J1536" i="1" s="1"/>
  <c r="F935" i="1"/>
  <c r="I935" i="1" s="1"/>
  <c r="H935" i="1"/>
  <c r="K935" i="1" s="1"/>
  <c r="G935" i="1"/>
  <c r="J935" i="1" s="1"/>
  <c r="F302" i="1"/>
  <c r="I302" i="1" s="1"/>
  <c r="H302" i="1"/>
  <c r="K302" i="1" s="1"/>
  <c r="G302" i="1"/>
  <c r="J302" i="1" s="1"/>
  <c r="F880" i="1"/>
  <c r="I880" i="1" s="1"/>
  <c r="G880" i="1"/>
  <c r="J880" i="1" s="1"/>
  <c r="H880" i="1"/>
  <c r="K880" i="1" s="1"/>
  <c r="F803" i="1"/>
  <c r="I803" i="1" s="1"/>
  <c r="H803" i="1"/>
  <c r="K803" i="1" s="1"/>
  <c r="G803" i="1"/>
  <c r="J803" i="1" s="1"/>
  <c r="F977" i="1"/>
  <c r="I977" i="1" s="1"/>
  <c r="H977" i="1"/>
  <c r="K977" i="1" s="1"/>
  <c r="G977" i="1"/>
  <c r="J977" i="1" s="1"/>
  <c r="F1140" i="1"/>
  <c r="I1140" i="1" s="1"/>
  <c r="H1140" i="1"/>
  <c r="K1140" i="1" s="1"/>
  <c r="G1140" i="1"/>
  <c r="J1140" i="1" s="1"/>
  <c r="F1006" i="1"/>
  <c r="I1006" i="1" s="1"/>
  <c r="H1006" i="1"/>
  <c r="K1006" i="1" s="1"/>
  <c r="G1006" i="1"/>
  <c r="J1006" i="1" s="1"/>
  <c r="F38" i="1"/>
  <c r="I38" i="1" s="1"/>
  <c r="H38" i="1"/>
  <c r="K38" i="1" s="1"/>
  <c r="G38" i="1"/>
  <c r="J38" i="1" s="1"/>
  <c r="F441" i="1"/>
  <c r="I441" i="1" s="1"/>
  <c r="H441" i="1"/>
  <c r="K441" i="1" s="1"/>
  <c r="G441" i="1"/>
  <c r="J441" i="1" s="1"/>
  <c r="F424" i="1"/>
  <c r="I424" i="1" s="1"/>
  <c r="H424" i="1"/>
  <c r="K424" i="1" s="1"/>
  <c r="G424" i="1"/>
  <c r="J424" i="1" s="1"/>
  <c r="F1378" i="1"/>
  <c r="I1378" i="1" s="1"/>
  <c r="H1378" i="1"/>
  <c r="K1378" i="1" s="1"/>
  <c r="G1378" i="1"/>
  <c r="J1378" i="1" s="1"/>
  <c r="F1287" i="1"/>
  <c r="I1287" i="1" s="1"/>
  <c r="H1287" i="1"/>
  <c r="K1287" i="1" s="1"/>
  <c r="G1287" i="1"/>
  <c r="J1287" i="1" s="1"/>
  <c r="F470" i="1"/>
  <c r="I470" i="1" s="1"/>
  <c r="H470" i="1"/>
  <c r="K470" i="1" s="1"/>
  <c r="G470" i="1"/>
  <c r="J470" i="1" s="1"/>
  <c r="F188" i="1"/>
  <c r="I188" i="1" s="1"/>
  <c r="H188" i="1"/>
  <c r="K188" i="1" s="1"/>
  <c r="G188" i="1"/>
  <c r="J188" i="1" s="1"/>
  <c r="F85" i="1"/>
  <c r="I85" i="1" s="1"/>
  <c r="H85" i="1"/>
  <c r="K85" i="1" s="1"/>
  <c r="G85" i="1"/>
  <c r="J85" i="1" s="1"/>
  <c r="F67" i="1"/>
  <c r="I67" i="1" s="1"/>
  <c r="H67" i="1"/>
  <c r="K67" i="1" s="1"/>
  <c r="G67" i="1"/>
  <c r="J67" i="1" s="1"/>
  <c r="F797" i="1"/>
  <c r="I797" i="1" s="1"/>
  <c r="H797" i="1"/>
  <c r="K797" i="1" s="1"/>
  <c r="G797" i="1"/>
  <c r="J797" i="1" s="1"/>
  <c r="F574" i="1"/>
  <c r="I574" i="1" s="1"/>
  <c r="H574" i="1"/>
  <c r="K574" i="1" s="1"/>
  <c r="G574" i="1"/>
  <c r="J574" i="1" s="1"/>
  <c r="F178" i="1"/>
  <c r="I178" i="1" s="1"/>
  <c r="H178" i="1"/>
  <c r="K178" i="1" s="1"/>
  <c r="G178" i="1"/>
  <c r="J178" i="1" s="1"/>
  <c r="F679" i="1"/>
  <c r="I679" i="1" s="1"/>
  <c r="H679" i="1"/>
  <c r="K679" i="1" s="1"/>
  <c r="G679" i="1"/>
  <c r="J679" i="1" s="1"/>
  <c r="F1176" i="1"/>
  <c r="I1176" i="1" s="1"/>
  <c r="H1176" i="1"/>
  <c r="K1176" i="1" s="1"/>
  <c r="G1176" i="1"/>
  <c r="J1176" i="1" s="1"/>
  <c r="F1113" i="1"/>
  <c r="I1113" i="1" s="1"/>
  <c r="H1113" i="1"/>
  <c r="K1113" i="1" s="1"/>
  <c r="G1113" i="1"/>
  <c r="J1113" i="1" s="1"/>
  <c r="F874" i="1"/>
  <c r="I874" i="1" s="1"/>
  <c r="H874" i="1"/>
  <c r="K874" i="1" s="1"/>
  <c r="G874" i="1"/>
  <c r="J874" i="1" s="1"/>
  <c r="F426" i="1"/>
  <c r="I426" i="1" s="1"/>
  <c r="H426" i="1"/>
  <c r="K426" i="1" s="1"/>
  <c r="G426" i="1"/>
  <c r="J426" i="1" s="1"/>
  <c r="F907" i="1"/>
  <c r="I907" i="1" s="1"/>
  <c r="H907" i="1"/>
  <c r="K907" i="1" s="1"/>
  <c r="G907" i="1"/>
  <c r="J907" i="1" s="1"/>
  <c r="F975" i="1"/>
  <c r="I975" i="1" s="1"/>
  <c r="G975" i="1"/>
  <c r="J975" i="1" s="1"/>
  <c r="H975" i="1"/>
  <c r="K975" i="1" s="1"/>
  <c r="F617" i="1"/>
  <c r="I617" i="1" s="1"/>
  <c r="H617" i="1"/>
  <c r="K617" i="1" s="1"/>
  <c r="G617" i="1"/>
  <c r="J617" i="1" s="1"/>
  <c r="F65" i="1"/>
  <c r="I65" i="1" s="1"/>
  <c r="G65" i="1"/>
  <c r="J65" i="1" s="1"/>
  <c r="H65" i="1"/>
  <c r="K65" i="1" s="1"/>
  <c r="F669" i="1"/>
  <c r="I669" i="1" s="1"/>
  <c r="H669" i="1"/>
  <c r="K669" i="1" s="1"/>
  <c r="G669" i="1"/>
  <c r="J669" i="1" s="1"/>
  <c r="F1184" i="1"/>
  <c r="I1184" i="1" s="1"/>
  <c r="H1184" i="1"/>
  <c r="K1184" i="1" s="1"/>
  <c r="G1184" i="1"/>
  <c r="J1184" i="1" s="1"/>
  <c r="F477" i="1"/>
  <c r="I477" i="1" s="1"/>
  <c r="H477" i="1"/>
  <c r="K477" i="1" s="1"/>
  <c r="G477" i="1"/>
  <c r="J477" i="1" s="1"/>
  <c r="F751" i="1"/>
  <c r="I751" i="1" s="1"/>
  <c r="G751" i="1"/>
  <c r="J751" i="1" s="1"/>
  <c r="H751" i="1"/>
  <c r="K751" i="1" s="1"/>
  <c r="F1147" i="1"/>
  <c r="I1147" i="1" s="1"/>
  <c r="H1147" i="1"/>
  <c r="K1147" i="1" s="1"/>
  <c r="G1147" i="1"/>
  <c r="J1147" i="1" s="1"/>
  <c r="F816" i="1"/>
  <c r="I816" i="1" s="1"/>
  <c r="H816" i="1"/>
  <c r="K816" i="1" s="1"/>
  <c r="G816" i="1"/>
  <c r="J816" i="1" s="1"/>
  <c r="F363" i="1"/>
  <c r="I363" i="1" s="1"/>
  <c r="H363" i="1"/>
  <c r="K363" i="1" s="1"/>
  <c r="G363" i="1"/>
  <c r="J363" i="1" s="1"/>
  <c r="F842" i="1"/>
  <c r="I842" i="1" s="1"/>
  <c r="H842" i="1"/>
  <c r="K842" i="1" s="1"/>
  <c r="G842" i="1"/>
  <c r="J842" i="1" s="1"/>
  <c r="F1316" i="1"/>
  <c r="I1316" i="1" s="1"/>
  <c r="H1316" i="1"/>
  <c r="K1316" i="1" s="1"/>
  <c r="G1316" i="1"/>
  <c r="J1316" i="1" s="1"/>
  <c r="F33" i="1"/>
  <c r="I33" i="1" s="1"/>
  <c r="H33" i="1"/>
  <c r="K33" i="1" s="1"/>
  <c r="G33" i="1"/>
  <c r="J33" i="1" s="1"/>
  <c r="F883" i="1"/>
  <c r="I883" i="1" s="1"/>
  <c r="G883" i="1"/>
  <c r="J883" i="1" s="1"/>
  <c r="H883" i="1"/>
  <c r="K883" i="1" s="1"/>
  <c r="F1305" i="1"/>
  <c r="I1305" i="1" s="1"/>
  <c r="H1305" i="1"/>
  <c r="K1305" i="1" s="1"/>
  <c r="G1305" i="1"/>
  <c r="J1305" i="1" s="1"/>
  <c r="F1005" i="1"/>
  <c r="I1005" i="1" s="1"/>
  <c r="H1005" i="1"/>
  <c r="K1005" i="1" s="1"/>
  <c r="G1005" i="1"/>
  <c r="J1005" i="1" s="1"/>
  <c r="F634" i="1"/>
  <c r="I634" i="1" s="1"/>
  <c r="H634" i="1"/>
  <c r="K634" i="1" s="1"/>
  <c r="G634" i="1"/>
  <c r="J634" i="1" s="1"/>
  <c r="F1014" i="1"/>
  <c r="I1014" i="1" s="1"/>
  <c r="H1014" i="1"/>
  <c r="K1014" i="1" s="1"/>
  <c r="G1014" i="1"/>
  <c r="J1014" i="1" s="1"/>
  <c r="F1448" i="1"/>
  <c r="I1448" i="1" s="1"/>
  <c r="H1448" i="1"/>
  <c r="K1448" i="1" s="1"/>
  <c r="G1448" i="1"/>
  <c r="J1448" i="1" s="1"/>
  <c r="F177" i="1"/>
  <c r="I177" i="1" s="1"/>
  <c r="H177" i="1"/>
  <c r="K177" i="1" s="1"/>
  <c r="G177" i="1"/>
  <c r="J177" i="1" s="1"/>
  <c r="F1015" i="1"/>
  <c r="I1015" i="1" s="1"/>
  <c r="H1015" i="1"/>
  <c r="K1015" i="1" s="1"/>
  <c r="G1015" i="1"/>
  <c r="J1015" i="1" s="1"/>
  <c r="F185" i="1"/>
  <c r="I185" i="1" s="1"/>
  <c r="H185" i="1"/>
  <c r="K185" i="1" s="1"/>
  <c r="G185" i="1"/>
  <c r="J185" i="1" s="1"/>
  <c r="F288" i="1"/>
  <c r="I288" i="1" s="1"/>
  <c r="H288" i="1"/>
  <c r="K288" i="1" s="1"/>
  <c r="G288" i="1"/>
  <c r="J288" i="1" s="1"/>
  <c r="F14" i="1"/>
  <c r="I14" i="1" s="1"/>
  <c r="H14" i="1"/>
  <c r="K14" i="1" s="1"/>
  <c r="G14" i="1"/>
  <c r="J14" i="1" s="1"/>
  <c r="F1167" i="1"/>
  <c r="I1167" i="1" s="1"/>
  <c r="H1167" i="1"/>
  <c r="K1167" i="1" s="1"/>
  <c r="G1167" i="1"/>
  <c r="J1167" i="1" s="1"/>
  <c r="F1580" i="1"/>
  <c r="I1580" i="1" s="1"/>
  <c r="H1580" i="1"/>
  <c r="K1580" i="1" s="1"/>
  <c r="G1580" i="1"/>
  <c r="J1580" i="1" s="1"/>
  <c r="F321" i="1"/>
  <c r="I321" i="1" s="1"/>
  <c r="H321" i="1"/>
  <c r="K321" i="1" s="1"/>
  <c r="G321" i="1"/>
  <c r="J321" i="1" s="1"/>
  <c r="F134" i="1"/>
  <c r="I134" i="1" s="1"/>
  <c r="H134" i="1"/>
  <c r="K134" i="1" s="1"/>
  <c r="G134" i="1"/>
  <c r="J134" i="1" s="1"/>
  <c r="F1434" i="1"/>
  <c r="I1434" i="1" s="1"/>
  <c r="H1434" i="1"/>
  <c r="K1434" i="1" s="1"/>
  <c r="G1434" i="1"/>
  <c r="J1434" i="1" s="1"/>
  <c r="F49" i="1"/>
  <c r="I49" i="1" s="1"/>
  <c r="G49" i="1"/>
  <c r="J49" i="1" s="1"/>
  <c r="H49" i="1"/>
  <c r="K49" i="1" s="1"/>
  <c r="F449" i="1"/>
  <c r="I449" i="1" s="1"/>
  <c r="H449" i="1"/>
  <c r="K449" i="1" s="1"/>
  <c r="G449" i="1"/>
  <c r="J449" i="1" s="1"/>
  <c r="F324" i="1"/>
  <c r="I324" i="1" s="1"/>
  <c r="H324" i="1"/>
  <c r="K324" i="1" s="1"/>
  <c r="G324" i="1"/>
  <c r="J324" i="1" s="1"/>
  <c r="F1210" i="1"/>
  <c r="I1210" i="1" s="1"/>
  <c r="H1210" i="1"/>
  <c r="K1210" i="1" s="1"/>
  <c r="G1210" i="1"/>
  <c r="J1210" i="1" s="1"/>
  <c r="F910" i="1"/>
  <c r="I910" i="1" s="1"/>
  <c r="H910" i="1"/>
  <c r="K910" i="1" s="1"/>
  <c r="G910" i="1"/>
  <c r="J910" i="1" s="1"/>
  <c r="F11" i="1"/>
  <c r="I11" i="1" s="1"/>
  <c r="H11" i="1"/>
  <c r="K11" i="1" s="1"/>
  <c r="G11" i="1"/>
  <c r="J11" i="1" s="1"/>
  <c r="F1086" i="1"/>
  <c r="I1086" i="1" s="1"/>
  <c r="H1086" i="1"/>
  <c r="K1086" i="1" s="1"/>
  <c r="G1086" i="1"/>
  <c r="J1086" i="1" s="1"/>
  <c r="F1430" i="1"/>
  <c r="I1430" i="1" s="1"/>
  <c r="H1430" i="1"/>
  <c r="K1430" i="1" s="1"/>
  <c r="G1430" i="1"/>
  <c r="J1430" i="1" s="1"/>
  <c r="F1600" i="1"/>
  <c r="I1600" i="1" s="1"/>
  <c r="H1600" i="1"/>
  <c r="K1600" i="1" s="1"/>
  <c r="G1600" i="1"/>
  <c r="J1600" i="1" s="1"/>
  <c r="F150" i="1"/>
  <c r="I150" i="1" s="1"/>
  <c r="H150" i="1"/>
  <c r="K150" i="1" s="1"/>
  <c r="G150" i="1"/>
  <c r="J150" i="1" s="1"/>
  <c r="F1393" i="1"/>
  <c r="I1393" i="1" s="1"/>
  <c r="H1393" i="1"/>
  <c r="K1393" i="1" s="1"/>
  <c r="G1393" i="1"/>
  <c r="J1393" i="1" s="1"/>
  <c r="F1596" i="1"/>
  <c r="I1596" i="1" s="1"/>
  <c r="H1596" i="1"/>
  <c r="K1596" i="1" s="1"/>
  <c r="G1596" i="1"/>
  <c r="J1596" i="1" s="1"/>
  <c r="F481" i="1"/>
  <c r="I481" i="1" s="1"/>
  <c r="H481" i="1"/>
  <c r="K481" i="1" s="1"/>
  <c r="G481" i="1"/>
  <c r="J481" i="1" s="1"/>
  <c r="F1525" i="1"/>
  <c r="I1525" i="1" s="1"/>
  <c r="H1525" i="1"/>
  <c r="K1525" i="1" s="1"/>
  <c r="G1525" i="1"/>
  <c r="J1525" i="1" s="1"/>
  <c r="F206" i="1"/>
  <c r="I206" i="1" s="1"/>
  <c r="H206" i="1"/>
  <c r="K206" i="1" s="1"/>
  <c r="G206" i="1"/>
  <c r="J206" i="1" s="1"/>
  <c r="F1045" i="1"/>
  <c r="I1045" i="1" s="1"/>
  <c r="H1045" i="1"/>
  <c r="K1045" i="1" s="1"/>
  <c r="G1045" i="1"/>
  <c r="J1045" i="1" s="1"/>
  <c r="F1192" i="1"/>
  <c r="I1192" i="1" s="1"/>
  <c r="H1192" i="1"/>
  <c r="K1192" i="1" s="1"/>
  <c r="G1192" i="1"/>
  <c r="J1192" i="1" s="1"/>
  <c r="F96" i="1"/>
  <c r="I96" i="1" s="1"/>
  <c r="H96" i="1"/>
  <c r="K96" i="1" s="1"/>
  <c r="G96" i="1"/>
  <c r="J96" i="1" s="1"/>
  <c r="F985" i="1"/>
  <c r="I985" i="1" s="1"/>
  <c r="H985" i="1"/>
  <c r="K985" i="1" s="1"/>
  <c r="G985" i="1"/>
  <c r="J985" i="1" s="1"/>
  <c r="F545" i="1"/>
  <c r="I545" i="1" s="1"/>
  <c r="H545" i="1"/>
  <c r="K545" i="1" s="1"/>
  <c r="G545" i="1"/>
  <c r="J545" i="1" s="1"/>
  <c r="F759" i="1"/>
  <c r="I759" i="1" s="1"/>
  <c r="H759" i="1"/>
  <c r="K759" i="1" s="1"/>
  <c r="G759" i="1"/>
  <c r="J759" i="1" s="1"/>
  <c r="F939" i="1"/>
  <c r="I939" i="1" s="1"/>
  <c r="H939" i="1"/>
  <c r="K939" i="1" s="1"/>
  <c r="G939" i="1"/>
  <c r="J939" i="1" s="1"/>
  <c r="F87" i="1"/>
  <c r="I87" i="1" s="1"/>
  <c r="H87" i="1"/>
  <c r="K87" i="1" s="1"/>
  <c r="G87" i="1"/>
  <c r="J87" i="1" s="1"/>
  <c r="F1189" i="1"/>
  <c r="I1189" i="1" s="1"/>
  <c r="H1189" i="1"/>
  <c r="K1189" i="1" s="1"/>
  <c r="G1189" i="1"/>
  <c r="J1189" i="1" s="1"/>
  <c r="F62" i="1"/>
  <c r="I62" i="1" s="1"/>
  <c r="H62" i="1"/>
  <c r="K62" i="1" s="1"/>
  <c r="G62" i="1"/>
  <c r="J62" i="1" s="1"/>
  <c r="F1486" i="1"/>
  <c r="I1486" i="1" s="1"/>
  <c r="H1486" i="1"/>
  <c r="K1486" i="1" s="1"/>
  <c r="G1486" i="1"/>
  <c r="J1486" i="1" s="1"/>
  <c r="F575" i="1"/>
  <c r="I575" i="1" s="1"/>
  <c r="H575" i="1"/>
  <c r="K575" i="1" s="1"/>
  <c r="G575" i="1"/>
  <c r="J575" i="1" s="1"/>
  <c r="F800" i="1"/>
  <c r="I800" i="1" s="1"/>
  <c r="H800" i="1"/>
  <c r="K800" i="1" s="1"/>
  <c r="G800" i="1"/>
  <c r="J800" i="1" s="1"/>
  <c r="F1313" i="1"/>
  <c r="I1313" i="1" s="1"/>
  <c r="H1313" i="1"/>
  <c r="K1313" i="1" s="1"/>
  <c r="G1313" i="1"/>
  <c r="J1313" i="1" s="1"/>
  <c r="F1562" i="1"/>
  <c r="I1562" i="1" s="1"/>
  <c r="H1562" i="1"/>
  <c r="K1562" i="1" s="1"/>
  <c r="G1562" i="1"/>
  <c r="J1562" i="1" s="1"/>
  <c r="F1299" i="1"/>
  <c r="I1299" i="1" s="1"/>
  <c r="H1299" i="1"/>
  <c r="K1299" i="1" s="1"/>
  <c r="G1299" i="1"/>
  <c r="J1299" i="1" s="1"/>
  <c r="F1351" i="1"/>
  <c r="I1351" i="1" s="1"/>
  <c r="H1351" i="1"/>
  <c r="K1351" i="1" s="1"/>
  <c r="G1351" i="1"/>
  <c r="J1351" i="1" s="1"/>
  <c r="F1263" i="1"/>
  <c r="I1263" i="1" s="1"/>
  <c r="H1263" i="1"/>
  <c r="K1263" i="1" s="1"/>
  <c r="G1263" i="1"/>
  <c r="J1263" i="1" s="1"/>
  <c r="F331" i="1"/>
  <c r="I331" i="1" s="1"/>
  <c r="H331" i="1"/>
  <c r="K331" i="1" s="1"/>
  <c r="G331" i="1"/>
  <c r="J331" i="1" s="1"/>
  <c r="F1277" i="1"/>
  <c r="I1277" i="1" s="1"/>
  <c r="G1277" i="1"/>
  <c r="J1277" i="1" s="1"/>
  <c r="H1277" i="1"/>
  <c r="K1277" i="1" s="1"/>
  <c r="F1199" i="1"/>
  <c r="I1199" i="1" s="1"/>
  <c r="H1199" i="1"/>
  <c r="K1199" i="1" s="1"/>
  <c r="G1199" i="1"/>
  <c r="J1199" i="1" s="1"/>
  <c r="F603" i="1"/>
  <c r="I603" i="1" s="1"/>
  <c r="H603" i="1"/>
  <c r="K603" i="1" s="1"/>
  <c r="G603" i="1"/>
  <c r="J603" i="1" s="1"/>
  <c r="F1507" i="1"/>
  <c r="I1507" i="1" s="1"/>
  <c r="H1507" i="1"/>
  <c r="K1507" i="1" s="1"/>
  <c r="G1507" i="1"/>
  <c r="J1507" i="1" s="1"/>
  <c r="F657" i="1"/>
  <c r="I657" i="1" s="1"/>
  <c r="G657" i="1"/>
  <c r="J657" i="1" s="1"/>
  <c r="H657" i="1"/>
  <c r="K657" i="1" s="1"/>
  <c r="F671" i="1"/>
  <c r="I671" i="1" s="1"/>
  <c r="H671" i="1"/>
  <c r="K671" i="1" s="1"/>
  <c r="G671" i="1"/>
  <c r="J671" i="1" s="1"/>
  <c r="F786" i="1"/>
  <c r="I786" i="1" s="1"/>
  <c r="H786" i="1"/>
  <c r="K786" i="1" s="1"/>
  <c r="G786" i="1"/>
  <c r="J786" i="1" s="1"/>
  <c r="F860" i="1"/>
  <c r="I860" i="1" s="1"/>
  <c r="H860" i="1"/>
  <c r="K860" i="1" s="1"/>
  <c r="G860" i="1"/>
  <c r="J860" i="1" s="1"/>
  <c r="F346" i="1"/>
  <c r="I346" i="1" s="1"/>
  <c r="H346" i="1"/>
  <c r="K346" i="1" s="1"/>
  <c r="G346" i="1"/>
  <c r="J346" i="1" s="1"/>
  <c r="F1000" i="1"/>
  <c r="I1000" i="1" s="1"/>
  <c r="G1000" i="1"/>
  <c r="J1000" i="1" s="1"/>
  <c r="H1000" i="1"/>
  <c r="K1000" i="1" s="1"/>
  <c r="F1519" i="1"/>
  <c r="I1519" i="1" s="1"/>
  <c r="H1519" i="1"/>
  <c r="K1519" i="1" s="1"/>
  <c r="G1519" i="1"/>
  <c r="J1519" i="1" s="1"/>
  <c r="F407" i="1"/>
  <c r="I407" i="1" s="1"/>
  <c r="G407" i="1"/>
  <c r="J407" i="1" s="1"/>
  <c r="H407" i="1"/>
  <c r="K407" i="1" s="1"/>
  <c r="F240" i="1"/>
  <c r="I240" i="1" s="1"/>
  <c r="G240" i="1"/>
  <c r="J240" i="1" s="1"/>
  <c r="H240" i="1"/>
  <c r="K240" i="1" s="1"/>
  <c r="F520" i="1"/>
  <c r="I520" i="1" s="1"/>
  <c r="H520" i="1"/>
  <c r="K520" i="1" s="1"/>
  <c r="G520" i="1"/>
  <c r="J520" i="1" s="1"/>
  <c r="F539" i="1"/>
  <c r="I539" i="1" s="1"/>
  <c r="H539" i="1"/>
  <c r="K539" i="1" s="1"/>
  <c r="G539" i="1"/>
  <c r="J539" i="1" s="1"/>
  <c r="F1387" i="1"/>
  <c r="I1387" i="1" s="1"/>
  <c r="H1387" i="1"/>
  <c r="K1387" i="1" s="1"/>
  <c r="G1387" i="1"/>
  <c r="J1387" i="1" s="1"/>
  <c r="F917" i="1"/>
  <c r="I917" i="1" s="1"/>
  <c r="H917" i="1"/>
  <c r="K917" i="1" s="1"/>
  <c r="G917" i="1"/>
  <c r="J917" i="1" s="1"/>
  <c r="F716" i="1"/>
  <c r="I716" i="1" s="1"/>
  <c r="H716" i="1"/>
  <c r="K716" i="1" s="1"/>
  <c r="G716" i="1"/>
  <c r="J716" i="1" s="1"/>
  <c r="F1235" i="1"/>
  <c r="I1235" i="1" s="1"/>
  <c r="H1235" i="1"/>
  <c r="K1235" i="1" s="1"/>
  <c r="G1235" i="1"/>
  <c r="J1235" i="1" s="1"/>
  <c r="F1459" i="1"/>
  <c r="I1459" i="1" s="1"/>
  <c r="H1459" i="1"/>
  <c r="K1459" i="1" s="1"/>
  <c r="G1459" i="1"/>
  <c r="J1459" i="1" s="1"/>
  <c r="F1050" i="1"/>
  <c r="I1050" i="1" s="1"/>
  <c r="H1050" i="1"/>
  <c r="K1050" i="1" s="1"/>
  <c r="G1050" i="1"/>
  <c r="J1050" i="1" s="1"/>
  <c r="F799" i="1"/>
  <c r="I799" i="1" s="1"/>
  <c r="H799" i="1"/>
  <c r="K799" i="1" s="1"/>
  <c r="G799" i="1"/>
  <c r="J799" i="1" s="1"/>
  <c r="F438" i="1"/>
  <c r="I438" i="1" s="1"/>
  <c r="H438" i="1"/>
  <c r="K438" i="1" s="1"/>
  <c r="G438" i="1"/>
  <c r="J438" i="1" s="1"/>
  <c r="F238" i="1"/>
  <c r="I238" i="1" s="1"/>
  <c r="H238" i="1"/>
  <c r="K238" i="1" s="1"/>
  <c r="G238" i="1"/>
  <c r="J238" i="1" s="1"/>
  <c r="F1308" i="1"/>
  <c r="I1308" i="1" s="1"/>
  <c r="H1308" i="1"/>
  <c r="K1308" i="1" s="1"/>
  <c r="G1308" i="1"/>
  <c r="J1308" i="1" s="1"/>
  <c r="F820" i="1"/>
  <c r="I820" i="1" s="1"/>
  <c r="H820" i="1"/>
  <c r="K820" i="1" s="1"/>
  <c r="G820" i="1"/>
  <c r="J820" i="1" s="1"/>
  <c r="F402" i="1"/>
  <c r="I402" i="1" s="1"/>
  <c r="H402" i="1"/>
  <c r="K402" i="1" s="1"/>
  <c r="G402" i="1"/>
  <c r="J402" i="1" s="1"/>
  <c r="F143" i="1"/>
  <c r="I143" i="1" s="1"/>
  <c r="H143" i="1"/>
  <c r="K143" i="1" s="1"/>
  <c r="G143" i="1"/>
  <c r="J143" i="1" s="1"/>
  <c r="F694" i="1"/>
  <c r="I694" i="1" s="1"/>
  <c r="H694" i="1"/>
  <c r="K694" i="1" s="1"/>
  <c r="G694" i="1"/>
  <c r="J694" i="1" s="1"/>
  <c r="F1320" i="1"/>
  <c r="I1320" i="1" s="1"/>
  <c r="H1320" i="1"/>
  <c r="K1320" i="1" s="1"/>
  <c r="G1320" i="1"/>
  <c r="J1320" i="1" s="1"/>
  <c r="F1284" i="1"/>
  <c r="I1284" i="1" s="1"/>
  <c r="G1284" i="1"/>
  <c r="J1284" i="1" s="1"/>
  <c r="H1284" i="1"/>
  <c r="K1284" i="1" s="1"/>
  <c r="F1043" i="1"/>
  <c r="I1043" i="1" s="1"/>
  <c r="H1043" i="1"/>
  <c r="K1043" i="1" s="1"/>
  <c r="G1043" i="1"/>
  <c r="J1043" i="1" s="1"/>
  <c r="F1066" i="1"/>
  <c r="I1066" i="1" s="1"/>
  <c r="H1066" i="1"/>
  <c r="K1066" i="1" s="1"/>
  <c r="G1066" i="1"/>
  <c r="J1066" i="1" s="1"/>
  <c r="F581" i="1"/>
  <c r="I581" i="1" s="1"/>
  <c r="G581" i="1"/>
  <c r="J581" i="1" s="1"/>
  <c r="H581" i="1"/>
  <c r="K581" i="1" s="1"/>
  <c r="F627" i="1"/>
  <c r="I627" i="1" s="1"/>
  <c r="H627" i="1"/>
  <c r="K627" i="1" s="1"/>
  <c r="G627" i="1"/>
  <c r="J627" i="1" s="1"/>
  <c r="F1207" i="1"/>
  <c r="I1207" i="1" s="1"/>
  <c r="H1207" i="1"/>
  <c r="K1207" i="1" s="1"/>
  <c r="G1207" i="1"/>
  <c r="J1207" i="1" s="1"/>
  <c r="F483" i="1"/>
  <c r="I483" i="1" s="1"/>
  <c r="H483" i="1"/>
  <c r="K483" i="1" s="1"/>
  <c r="G483" i="1"/>
  <c r="J483" i="1" s="1"/>
  <c r="F1250" i="1"/>
  <c r="I1250" i="1" s="1"/>
  <c r="H1250" i="1"/>
  <c r="K1250" i="1" s="1"/>
  <c r="G1250" i="1"/>
  <c r="J1250" i="1" s="1"/>
  <c r="F1493" i="1"/>
  <c r="I1493" i="1" s="1"/>
  <c r="H1493" i="1"/>
  <c r="K1493" i="1" s="1"/>
  <c r="G1493" i="1"/>
  <c r="J1493" i="1" s="1"/>
  <c r="F157" i="1"/>
  <c r="I157" i="1" s="1"/>
  <c r="H157" i="1"/>
  <c r="K157" i="1" s="1"/>
  <c r="G157" i="1"/>
  <c r="J157" i="1" s="1"/>
  <c r="F624" i="1"/>
  <c r="I624" i="1" s="1"/>
  <c r="H624" i="1"/>
  <c r="K624" i="1" s="1"/>
  <c r="G624" i="1"/>
  <c r="J624" i="1" s="1"/>
  <c r="F752" i="1"/>
  <c r="I752" i="1" s="1"/>
  <c r="H752" i="1"/>
  <c r="K752" i="1" s="1"/>
  <c r="G752" i="1"/>
  <c r="J752" i="1" s="1"/>
  <c r="F785" i="1"/>
  <c r="I785" i="1" s="1"/>
  <c r="H785" i="1"/>
  <c r="K785" i="1" s="1"/>
  <c r="G785" i="1"/>
  <c r="J785" i="1" s="1"/>
  <c r="F584" i="1"/>
  <c r="I584" i="1" s="1"/>
  <c r="H584" i="1"/>
  <c r="K584" i="1" s="1"/>
  <c r="G584" i="1"/>
  <c r="J584" i="1" s="1"/>
  <c r="F1108" i="1"/>
  <c r="I1108" i="1" s="1"/>
  <c r="G1108" i="1"/>
  <c r="J1108" i="1" s="1"/>
  <c r="H1108" i="1"/>
  <c r="K1108" i="1" s="1"/>
  <c r="F1125" i="1"/>
  <c r="I1125" i="1" s="1"/>
  <c r="H1125" i="1"/>
  <c r="K1125" i="1" s="1"/>
  <c r="G1125" i="1"/>
  <c r="J1125" i="1" s="1"/>
  <c r="F1488" i="1"/>
  <c r="I1488" i="1" s="1"/>
  <c r="H1488" i="1"/>
  <c r="K1488" i="1" s="1"/>
  <c r="G1488" i="1"/>
  <c r="J1488" i="1" s="1"/>
  <c r="F962" i="1"/>
  <c r="I962" i="1" s="1"/>
  <c r="H962" i="1"/>
  <c r="K962" i="1" s="1"/>
  <c r="G962" i="1"/>
  <c r="J962" i="1" s="1"/>
  <c r="F1103" i="1"/>
  <c r="I1103" i="1" s="1"/>
  <c r="H1103" i="1"/>
  <c r="K1103" i="1" s="1"/>
  <c r="G1103" i="1"/>
  <c r="J1103" i="1" s="1"/>
  <c r="F1151" i="1"/>
  <c r="I1151" i="1" s="1"/>
  <c r="H1151" i="1"/>
  <c r="K1151" i="1" s="1"/>
  <c r="G1151" i="1"/>
  <c r="J1151" i="1" s="1"/>
  <c r="F1341" i="1"/>
  <c r="I1341" i="1" s="1"/>
  <c r="H1341" i="1"/>
  <c r="K1341" i="1" s="1"/>
  <c r="G1341" i="1"/>
  <c r="J1341" i="1" s="1"/>
  <c r="F71" i="1"/>
  <c r="I71" i="1" s="1"/>
  <c r="H71" i="1"/>
  <c r="K71" i="1" s="1"/>
  <c r="G71" i="1"/>
  <c r="J71" i="1" s="1"/>
  <c r="F1010" i="1"/>
  <c r="I1010" i="1" s="1"/>
  <c r="H1010" i="1"/>
  <c r="K1010" i="1" s="1"/>
  <c r="G1010" i="1"/>
  <c r="J1010" i="1" s="1"/>
  <c r="F1439" i="1"/>
  <c r="I1439" i="1" s="1"/>
  <c r="H1439" i="1"/>
  <c r="K1439" i="1" s="1"/>
  <c r="G1439" i="1"/>
  <c r="J1439" i="1" s="1"/>
  <c r="F602" i="1"/>
  <c r="I602" i="1" s="1"/>
  <c r="H602" i="1"/>
  <c r="K602" i="1" s="1"/>
  <c r="G602" i="1"/>
  <c r="J602" i="1" s="1"/>
  <c r="F1489" i="1"/>
  <c r="I1489" i="1" s="1"/>
  <c r="H1489" i="1"/>
  <c r="K1489" i="1" s="1"/>
  <c r="G1489" i="1"/>
  <c r="J1489" i="1" s="1"/>
  <c r="F32" i="1"/>
  <c r="I32" i="1" s="1"/>
  <c r="H32" i="1"/>
  <c r="K32" i="1" s="1"/>
  <c r="G32" i="1"/>
  <c r="J32" i="1" s="1"/>
  <c r="F1586" i="1"/>
  <c r="I1586" i="1" s="1"/>
  <c r="H1586" i="1"/>
  <c r="K1586" i="1" s="1"/>
  <c r="G1586" i="1"/>
  <c r="J1586" i="1" s="1"/>
  <c r="F1355" i="1"/>
  <c r="I1355" i="1" s="1"/>
  <c r="H1355" i="1"/>
  <c r="K1355" i="1" s="1"/>
  <c r="G1355" i="1"/>
  <c r="J1355" i="1" s="1"/>
  <c r="F668" i="1"/>
  <c r="I668" i="1" s="1"/>
  <c r="H668" i="1"/>
  <c r="K668" i="1" s="1"/>
  <c r="G668" i="1"/>
  <c r="J668" i="1" s="1"/>
  <c r="F914" i="1"/>
  <c r="I914" i="1" s="1"/>
  <c r="H914" i="1"/>
  <c r="K914" i="1" s="1"/>
  <c r="G914" i="1"/>
  <c r="J914" i="1" s="1"/>
  <c r="F964" i="1"/>
  <c r="I964" i="1" s="1"/>
  <c r="H964" i="1"/>
  <c r="K964" i="1" s="1"/>
  <c r="G964" i="1"/>
  <c r="J964" i="1" s="1"/>
  <c r="F1303" i="1"/>
  <c r="I1303" i="1" s="1"/>
  <c r="H1303" i="1"/>
  <c r="K1303" i="1" s="1"/>
  <c r="G1303" i="1"/>
  <c r="J1303" i="1" s="1"/>
  <c r="F1294" i="1"/>
  <c r="I1294" i="1" s="1"/>
  <c r="H1294" i="1"/>
  <c r="K1294" i="1" s="1"/>
  <c r="G1294" i="1"/>
  <c r="J1294" i="1" s="1"/>
  <c r="F1198" i="1"/>
  <c r="I1198" i="1" s="1"/>
  <c r="H1198" i="1"/>
  <c r="K1198" i="1" s="1"/>
  <c r="G1198" i="1"/>
  <c r="J1198" i="1" s="1"/>
  <c r="F404" i="1"/>
  <c r="I404" i="1" s="1"/>
  <c r="H404" i="1"/>
  <c r="K404" i="1" s="1"/>
  <c r="G404" i="1"/>
  <c r="J404" i="1" s="1"/>
  <c r="F377" i="1"/>
  <c r="I377" i="1" s="1"/>
  <c r="H377" i="1"/>
  <c r="K377" i="1" s="1"/>
  <c r="G377" i="1"/>
  <c r="J377" i="1" s="1"/>
  <c r="F327" i="1"/>
  <c r="I327" i="1" s="1"/>
  <c r="H327" i="1"/>
  <c r="K327" i="1" s="1"/>
  <c r="G327" i="1"/>
  <c r="J327" i="1" s="1"/>
  <c r="F1073" i="1"/>
  <c r="I1073" i="1" s="1"/>
  <c r="H1073" i="1"/>
  <c r="K1073" i="1" s="1"/>
  <c r="G1073" i="1"/>
  <c r="J1073" i="1" s="1"/>
  <c r="F730" i="1"/>
  <c r="I730" i="1" s="1"/>
  <c r="H730" i="1"/>
  <c r="K730" i="1" s="1"/>
  <c r="G730" i="1"/>
  <c r="J730" i="1" s="1"/>
  <c r="F572" i="1"/>
  <c r="I572" i="1" s="1"/>
  <c r="H572" i="1"/>
  <c r="K572" i="1" s="1"/>
  <c r="G572" i="1"/>
  <c r="J572" i="1" s="1"/>
  <c r="F1535" i="1"/>
  <c r="I1535" i="1" s="1"/>
  <c r="H1535" i="1"/>
  <c r="K1535" i="1" s="1"/>
  <c r="G1535" i="1"/>
  <c r="J1535" i="1" s="1"/>
  <c r="F1104" i="1"/>
  <c r="I1104" i="1" s="1"/>
  <c r="H1104" i="1"/>
  <c r="K1104" i="1" s="1"/>
  <c r="G1104" i="1"/>
  <c r="J1104" i="1" s="1"/>
  <c r="F1234" i="1"/>
  <c r="I1234" i="1" s="1"/>
  <c r="H1234" i="1"/>
  <c r="K1234" i="1" s="1"/>
  <c r="G1234" i="1"/>
  <c r="J1234" i="1" s="1"/>
  <c r="F808" i="1"/>
  <c r="I808" i="1" s="1"/>
  <c r="H808" i="1"/>
  <c r="K808" i="1" s="1"/>
  <c r="G808" i="1"/>
  <c r="J808" i="1" s="1"/>
  <c r="F765" i="1"/>
  <c r="I765" i="1" s="1"/>
  <c r="H765" i="1"/>
  <c r="K765" i="1" s="1"/>
  <c r="G765" i="1"/>
  <c r="J765" i="1" s="1"/>
  <c r="F1504" i="1"/>
  <c r="I1504" i="1" s="1"/>
  <c r="H1504" i="1"/>
  <c r="K1504" i="1" s="1"/>
  <c r="G1504" i="1"/>
  <c r="J1504" i="1" s="1"/>
  <c r="F1597" i="1"/>
  <c r="I1597" i="1" s="1"/>
  <c r="G1597" i="1"/>
  <c r="J1597" i="1" s="1"/>
  <c r="H1597" i="1"/>
  <c r="K1597" i="1" s="1"/>
  <c r="F655" i="1"/>
  <c r="I655" i="1" s="1"/>
  <c r="G655" i="1"/>
  <c r="J655" i="1" s="1"/>
  <c r="H655" i="1"/>
  <c r="K655" i="1" s="1"/>
  <c r="F476" i="1"/>
  <c r="I476" i="1" s="1"/>
  <c r="H476" i="1"/>
  <c r="K476" i="1" s="1"/>
  <c r="G476" i="1"/>
  <c r="J476" i="1" s="1"/>
  <c r="F1406" i="1"/>
  <c r="I1406" i="1" s="1"/>
  <c r="H1406" i="1"/>
  <c r="K1406" i="1" s="1"/>
  <c r="G1406" i="1"/>
  <c r="J1406" i="1" s="1"/>
  <c r="F1327" i="1"/>
  <c r="I1327" i="1" s="1"/>
  <c r="H1327" i="1"/>
  <c r="K1327" i="1" s="1"/>
  <c r="G1327" i="1"/>
  <c r="J1327" i="1" s="1"/>
  <c r="F625" i="1"/>
  <c r="I625" i="1" s="1"/>
  <c r="H625" i="1"/>
  <c r="K625" i="1" s="1"/>
  <c r="G625" i="1"/>
  <c r="J625" i="1" s="1"/>
  <c r="F88" i="1"/>
  <c r="I88" i="1" s="1"/>
  <c r="H88" i="1"/>
  <c r="K88" i="1" s="1"/>
  <c r="G88" i="1"/>
  <c r="J88" i="1" s="1"/>
  <c r="F1092" i="1"/>
  <c r="I1092" i="1" s="1"/>
  <c r="H1092" i="1"/>
  <c r="K1092" i="1" s="1"/>
  <c r="G1092" i="1"/>
  <c r="J1092" i="1" s="1"/>
  <c r="F26" i="1"/>
  <c r="I26" i="1" s="1"/>
  <c r="G26" i="1"/>
  <c r="J26" i="1" s="1"/>
  <c r="H26" i="1"/>
  <c r="K26" i="1" s="1"/>
  <c r="F1283" i="1"/>
  <c r="I1283" i="1" s="1"/>
  <c r="H1283" i="1"/>
  <c r="K1283" i="1" s="1"/>
  <c r="G1283" i="1"/>
  <c r="J1283" i="1" s="1"/>
  <c r="F355" i="1"/>
  <c r="I355" i="1" s="1"/>
  <c r="G355" i="1"/>
  <c r="J355" i="1" s="1"/>
  <c r="H355" i="1"/>
  <c r="K355" i="1" s="1"/>
  <c r="F429" i="1"/>
  <c r="I429" i="1" s="1"/>
  <c r="H429" i="1"/>
  <c r="K429" i="1" s="1"/>
  <c r="G429" i="1"/>
  <c r="J429" i="1" s="1"/>
  <c r="F1516" i="1"/>
  <c r="I1516" i="1" s="1"/>
  <c r="H1516" i="1"/>
  <c r="K1516" i="1" s="1"/>
  <c r="G1516" i="1"/>
  <c r="J1516" i="1" s="1"/>
  <c r="F1106" i="1"/>
  <c r="I1106" i="1" s="1"/>
  <c r="H1106" i="1"/>
  <c r="K1106" i="1" s="1"/>
  <c r="G1106" i="1"/>
  <c r="J1106" i="1" s="1"/>
  <c r="F915" i="1"/>
  <c r="I915" i="1" s="1"/>
  <c r="H915" i="1"/>
  <c r="K915" i="1" s="1"/>
  <c r="G915" i="1"/>
  <c r="J915" i="1" s="1"/>
  <c r="F257" i="1"/>
  <c r="I257" i="1" s="1"/>
  <c r="G257" i="1"/>
  <c r="J257" i="1" s="1"/>
  <c r="H257" i="1"/>
  <c r="K257" i="1" s="1"/>
  <c r="F1528" i="1"/>
  <c r="I1528" i="1" s="1"/>
  <c r="H1528" i="1"/>
  <c r="K1528" i="1" s="1"/>
  <c r="G1528" i="1"/>
  <c r="J1528" i="1" s="1"/>
  <c r="F1144" i="1"/>
  <c r="I1144" i="1" s="1"/>
  <c r="H1144" i="1"/>
  <c r="K1144" i="1" s="1"/>
  <c r="G1144" i="1"/>
  <c r="J1144" i="1" s="1"/>
  <c r="F542" i="1"/>
  <c r="I542" i="1" s="1"/>
  <c r="H542" i="1"/>
  <c r="K542" i="1" s="1"/>
  <c r="G542" i="1"/>
  <c r="J542" i="1" s="1"/>
  <c r="F744" i="1"/>
  <c r="I744" i="1" s="1"/>
  <c r="H744" i="1"/>
  <c r="K744" i="1" s="1"/>
  <c r="G744" i="1"/>
  <c r="J744" i="1" s="1"/>
  <c r="F127" i="1"/>
  <c r="I127" i="1" s="1"/>
  <c r="H127" i="1"/>
  <c r="K127" i="1" s="1"/>
  <c r="G127" i="1"/>
  <c r="J127" i="1" s="1"/>
  <c r="F1074" i="1"/>
  <c r="I1074" i="1" s="1"/>
  <c r="H1074" i="1"/>
  <c r="K1074" i="1" s="1"/>
  <c r="G1074" i="1"/>
  <c r="J1074" i="1" s="1"/>
  <c r="F348" i="1"/>
  <c r="I348" i="1" s="1"/>
  <c r="H348" i="1"/>
  <c r="K348" i="1" s="1"/>
  <c r="G348" i="1"/>
  <c r="J348" i="1" s="1"/>
  <c r="F195" i="1"/>
  <c r="I195" i="1" s="1"/>
  <c r="G195" i="1"/>
  <c r="J195" i="1" s="1"/>
  <c r="H195" i="1"/>
  <c r="K195" i="1" s="1"/>
  <c r="F222" i="1"/>
  <c r="I222" i="1" s="1"/>
  <c r="H222" i="1"/>
  <c r="K222" i="1" s="1"/>
  <c r="G222" i="1"/>
  <c r="J222" i="1" s="1"/>
  <c r="F1107" i="1"/>
  <c r="I1107" i="1" s="1"/>
  <c r="H1107" i="1"/>
  <c r="K1107" i="1" s="1"/>
  <c r="G1107" i="1"/>
  <c r="J1107" i="1" s="1"/>
  <c r="F191" i="1"/>
  <c r="I191" i="1" s="1"/>
  <c r="H191" i="1"/>
  <c r="K191" i="1" s="1"/>
  <c r="G191" i="1"/>
  <c r="J191" i="1" s="1"/>
  <c r="F41" i="1"/>
  <c r="I41" i="1" s="1"/>
  <c r="H41" i="1"/>
  <c r="K41" i="1" s="1"/>
  <c r="G41" i="1"/>
  <c r="J41" i="1" s="1"/>
  <c r="F446" i="1"/>
  <c r="I446" i="1" s="1"/>
  <c r="H446" i="1"/>
  <c r="K446" i="1" s="1"/>
  <c r="G446" i="1"/>
  <c r="J446" i="1" s="1"/>
  <c r="F352" i="1"/>
  <c r="I352" i="1" s="1"/>
  <c r="G352" i="1"/>
  <c r="J352" i="1" s="1"/>
  <c r="H352" i="1"/>
  <c r="K352" i="1" s="1"/>
  <c r="F93" i="1"/>
  <c r="I93" i="1" s="1"/>
  <c r="H93" i="1"/>
  <c r="K93" i="1" s="1"/>
  <c r="G93" i="1"/>
  <c r="J93" i="1" s="1"/>
  <c r="F360" i="1"/>
  <c r="I360" i="1" s="1"/>
  <c r="H360" i="1"/>
  <c r="K360" i="1" s="1"/>
  <c r="G360" i="1"/>
  <c r="J360" i="1" s="1"/>
  <c r="F822" i="1"/>
  <c r="I822" i="1" s="1"/>
  <c r="H822" i="1"/>
  <c r="K822" i="1" s="1"/>
  <c r="G822" i="1"/>
  <c r="J822" i="1" s="1"/>
  <c r="F390" i="1"/>
  <c r="I390" i="1" s="1"/>
  <c r="H390" i="1"/>
  <c r="K390" i="1" s="1"/>
  <c r="G390" i="1"/>
  <c r="J390" i="1" s="1"/>
  <c r="F166" i="1"/>
  <c r="I166" i="1" s="1"/>
  <c r="H166" i="1"/>
  <c r="K166" i="1" s="1"/>
  <c r="G166" i="1"/>
  <c r="J166" i="1" s="1"/>
  <c r="F317" i="1"/>
  <c r="I317" i="1" s="1"/>
  <c r="H317" i="1"/>
  <c r="K317" i="1" s="1"/>
  <c r="G317" i="1"/>
  <c r="J317" i="1" s="1"/>
  <c r="F834" i="1"/>
  <c r="I834" i="1" s="1"/>
  <c r="H834" i="1"/>
  <c r="K834" i="1" s="1"/>
  <c r="G834" i="1"/>
  <c r="J834" i="1" s="1"/>
  <c r="F116" i="1"/>
  <c r="I116" i="1" s="1"/>
  <c r="H116" i="1"/>
  <c r="K116" i="1" s="1"/>
  <c r="G116" i="1"/>
  <c r="J116" i="1" s="1"/>
  <c r="F73" i="1"/>
  <c r="I73" i="1" s="1"/>
  <c r="H73" i="1"/>
  <c r="K73" i="1" s="1"/>
  <c r="G73" i="1"/>
  <c r="J73" i="1" s="1"/>
  <c r="F461" i="1"/>
  <c r="I461" i="1" s="1"/>
  <c r="G461" i="1"/>
  <c r="J461" i="1" s="1"/>
  <c r="H461" i="1"/>
  <c r="K461" i="1" s="1"/>
  <c r="F217" i="1"/>
  <c r="I217" i="1" s="1"/>
  <c r="G217" i="1"/>
  <c r="J217" i="1" s="1"/>
  <c r="H217" i="1"/>
  <c r="K217" i="1" s="1"/>
  <c r="F221" i="1"/>
  <c r="I221" i="1" s="1"/>
  <c r="H221" i="1"/>
  <c r="K221" i="1" s="1"/>
  <c r="G221" i="1"/>
  <c r="J221" i="1" s="1"/>
  <c r="F1042" i="1"/>
  <c r="I1042" i="1" s="1"/>
  <c r="H1042" i="1"/>
  <c r="K1042" i="1" s="1"/>
  <c r="G1042" i="1"/>
  <c r="J1042" i="1" s="1"/>
  <c r="F174" i="1"/>
  <c r="I174" i="1" s="1"/>
  <c r="H174" i="1"/>
  <c r="K174" i="1" s="1"/>
  <c r="G174" i="1"/>
  <c r="J174" i="1" s="1"/>
  <c r="F633" i="1"/>
  <c r="I633" i="1" s="1"/>
  <c r="H633" i="1"/>
  <c r="K633" i="1" s="1"/>
  <c r="G633" i="1"/>
  <c r="J633" i="1" s="1"/>
  <c r="F902" i="1"/>
  <c r="I902" i="1" s="1"/>
  <c r="H902" i="1"/>
  <c r="K902" i="1" s="1"/>
  <c r="G902" i="1"/>
  <c r="J902" i="1" s="1"/>
  <c r="F272" i="1"/>
  <c r="I272" i="1" s="1"/>
  <c r="H272" i="1"/>
  <c r="K272" i="1" s="1"/>
  <c r="G272" i="1"/>
  <c r="J272" i="1" s="1"/>
  <c r="F1274" i="1"/>
  <c r="I1274" i="1" s="1"/>
  <c r="H1274" i="1"/>
  <c r="K1274" i="1" s="1"/>
  <c r="G1274" i="1"/>
  <c r="J1274" i="1" s="1"/>
  <c r="F279" i="1"/>
  <c r="I279" i="1" s="1"/>
  <c r="H279" i="1"/>
  <c r="K279" i="1" s="1"/>
  <c r="G279" i="1"/>
  <c r="J279" i="1" s="1"/>
  <c r="F670" i="1"/>
  <c r="I670" i="1" s="1"/>
  <c r="H670" i="1"/>
  <c r="K670" i="1" s="1"/>
  <c r="G670" i="1"/>
  <c r="J670" i="1" s="1"/>
  <c r="F1245" i="1"/>
  <c r="I1245" i="1" s="1"/>
  <c r="H1245" i="1"/>
  <c r="K1245" i="1" s="1"/>
  <c r="G1245" i="1"/>
  <c r="J1245" i="1" s="1"/>
  <c r="F52" i="1"/>
  <c r="I52" i="1" s="1"/>
  <c r="H52" i="1"/>
  <c r="K52" i="1" s="1"/>
  <c r="G52" i="1"/>
  <c r="J52" i="1" s="1"/>
  <c r="F661" i="1"/>
  <c r="I661" i="1" s="1"/>
  <c r="H661" i="1"/>
  <c r="K661" i="1" s="1"/>
  <c r="G661" i="1"/>
  <c r="J661" i="1" s="1"/>
  <c r="F740" i="1"/>
  <c r="I740" i="1" s="1"/>
  <c r="H740" i="1"/>
  <c r="K740" i="1" s="1"/>
  <c r="G740" i="1"/>
  <c r="J740" i="1" s="1"/>
  <c r="F969" i="1"/>
  <c r="I969" i="1" s="1"/>
  <c r="H969" i="1"/>
  <c r="K969" i="1" s="1"/>
  <c r="G969" i="1"/>
  <c r="J969" i="1" s="1"/>
  <c r="F708" i="1"/>
  <c r="I708" i="1" s="1"/>
  <c r="H708" i="1"/>
  <c r="K708" i="1" s="1"/>
  <c r="G708" i="1"/>
  <c r="J708" i="1" s="1"/>
  <c r="F277" i="1"/>
  <c r="I277" i="1" s="1"/>
  <c r="G277" i="1"/>
  <c r="J277" i="1" s="1"/>
  <c r="H277" i="1"/>
  <c r="K277" i="1" s="1"/>
  <c r="F180" i="1"/>
  <c r="I180" i="1" s="1"/>
  <c r="H180" i="1"/>
  <c r="K180" i="1" s="1"/>
  <c r="G180" i="1"/>
  <c r="J180" i="1" s="1"/>
  <c r="F465" i="1"/>
  <c r="I465" i="1" s="1"/>
  <c r="H465" i="1"/>
  <c r="K465" i="1" s="1"/>
  <c r="G465" i="1"/>
  <c r="J465" i="1" s="1"/>
  <c r="F518" i="1"/>
  <c r="I518" i="1" s="1"/>
  <c r="H518" i="1"/>
  <c r="K518" i="1" s="1"/>
  <c r="G518" i="1"/>
  <c r="J518" i="1" s="1"/>
  <c r="F1097" i="1"/>
  <c r="I1097" i="1" s="1"/>
  <c r="H1097" i="1"/>
  <c r="K1097" i="1" s="1"/>
  <c r="G1097" i="1"/>
  <c r="J1097" i="1" s="1"/>
  <c r="F292" i="1"/>
  <c r="I292" i="1" s="1"/>
  <c r="G292" i="1"/>
  <c r="J292" i="1" s="1"/>
  <c r="H292" i="1"/>
  <c r="K292" i="1" s="1"/>
  <c r="F1369" i="1"/>
  <c r="I1369" i="1" s="1"/>
  <c r="H1369" i="1"/>
  <c r="K1369" i="1" s="1"/>
  <c r="G1369" i="1"/>
  <c r="J1369" i="1" s="1"/>
  <c r="F391" i="1"/>
  <c r="I391" i="1" s="1"/>
  <c r="H391" i="1"/>
  <c r="K391" i="1" s="1"/>
  <c r="G391" i="1"/>
  <c r="J391" i="1" s="1"/>
  <c r="F686" i="1"/>
  <c r="I686" i="1" s="1"/>
  <c r="H686" i="1"/>
  <c r="K686" i="1" s="1"/>
  <c r="G686" i="1"/>
  <c r="J686" i="1" s="1"/>
  <c r="F1282" i="1"/>
  <c r="I1282" i="1" s="1"/>
  <c r="H1282" i="1"/>
  <c r="K1282" i="1" s="1"/>
  <c r="G1282" i="1"/>
  <c r="J1282" i="1" s="1"/>
  <c r="F747" i="1"/>
  <c r="I747" i="1" s="1"/>
  <c r="H747" i="1"/>
  <c r="K747" i="1" s="1"/>
  <c r="G747" i="1"/>
  <c r="J747" i="1" s="1"/>
  <c r="F263" i="1"/>
  <c r="I263" i="1" s="1"/>
  <c r="H263" i="1"/>
  <c r="K263" i="1" s="1"/>
  <c r="G263" i="1"/>
  <c r="J263" i="1" s="1"/>
  <c r="F1573" i="1"/>
  <c r="I1573" i="1" s="1"/>
  <c r="H1573" i="1"/>
  <c r="K1573" i="1" s="1"/>
  <c r="G1573" i="1"/>
  <c r="J1573" i="1" s="1"/>
  <c r="F821" i="1"/>
  <c r="I821" i="1" s="1"/>
  <c r="H821" i="1"/>
  <c r="K821" i="1" s="1"/>
  <c r="G821" i="1"/>
  <c r="J821" i="1" s="1"/>
  <c r="F513" i="1"/>
  <c r="I513" i="1" s="1"/>
  <c r="H513" i="1"/>
  <c r="K513" i="1" s="1"/>
  <c r="G513" i="1"/>
  <c r="J513" i="1" s="1"/>
  <c r="F211" i="1"/>
  <c r="I211" i="1" s="1"/>
  <c r="H211" i="1"/>
  <c r="K211" i="1" s="1"/>
  <c r="G211" i="1"/>
  <c r="J211" i="1" s="1"/>
  <c r="F927" i="1"/>
  <c r="I927" i="1" s="1"/>
  <c r="H927" i="1"/>
  <c r="K927" i="1" s="1"/>
  <c r="G927" i="1"/>
  <c r="J927" i="1" s="1"/>
  <c r="F225" i="1"/>
  <c r="I225" i="1" s="1"/>
  <c r="H225" i="1"/>
  <c r="K225" i="1" s="1"/>
  <c r="G225" i="1"/>
  <c r="J225" i="1" s="1"/>
  <c r="F1312" i="1"/>
  <c r="I1312" i="1" s="1"/>
  <c r="H1312" i="1"/>
  <c r="K1312" i="1" s="1"/>
  <c r="G1312" i="1"/>
  <c r="J1312" i="1" s="1"/>
  <c r="F1560" i="1"/>
  <c r="I1560" i="1" s="1"/>
  <c r="H1560" i="1"/>
  <c r="K1560" i="1" s="1"/>
  <c r="G1560" i="1"/>
  <c r="J1560" i="1" s="1"/>
  <c r="F986" i="1"/>
  <c r="I986" i="1" s="1"/>
  <c r="H986" i="1"/>
  <c r="K986" i="1" s="1"/>
  <c r="G986" i="1"/>
  <c r="J986" i="1" s="1"/>
  <c r="F1442" i="1"/>
  <c r="I1442" i="1" s="1"/>
  <c r="H1442" i="1"/>
  <c r="K1442" i="1" s="1"/>
  <c r="G1442" i="1"/>
  <c r="J1442" i="1" s="1"/>
  <c r="F1041" i="1"/>
  <c r="I1041" i="1" s="1"/>
  <c r="H1041" i="1"/>
  <c r="K1041" i="1" s="1"/>
  <c r="G1041" i="1"/>
  <c r="J1041" i="1" s="1"/>
  <c r="F183" i="1"/>
  <c r="I183" i="1" s="1"/>
  <c r="G183" i="1"/>
  <c r="J183" i="1" s="1"/>
  <c r="H183" i="1"/>
  <c r="K183" i="1" s="1"/>
  <c r="F1589" i="1"/>
  <c r="I1589" i="1" s="1"/>
  <c r="G1589" i="1"/>
  <c r="J1589" i="1" s="1"/>
  <c r="H1589" i="1"/>
  <c r="K1589" i="1" s="1"/>
  <c r="F182" i="1"/>
  <c r="I182" i="1" s="1"/>
  <c r="H182" i="1"/>
  <c r="K182" i="1" s="1"/>
  <c r="G182" i="1"/>
  <c r="J182" i="1" s="1"/>
  <c r="F1122" i="1"/>
  <c r="I1122" i="1" s="1"/>
  <c r="H1122" i="1"/>
  <c r="K1122" i="1" s="1"/>
  <c r="G1122" i="1"/>
  <c r="J1122" i="1" s="1"/>
  <c r="F743" i="1"/>
  <c r="I743" i="1" s="1"/>
  <c r="H743" i="1"/>
  <c r="K743" i="1" s="1"/>
  <c r="G743" i="1"/>
  <c r="J743" i="1" s="1"/>
  <c r="F1450" i="1"/>
  <c r="I1450" i="1" s="1"/>
  <c r="H1450" i="1"/>
  <c r="K1450" i="1" s="1"/>
  <c r="G1450" i="1"/>
  <c r="J1450" i="1" s="1"/>
  <c r="F1487" i="1"/>
  <c r="I1487" i="1" s="1"/>
  <c r="H1487" i="1"/>
  <c r="K1487" i="1" s="1"/>
  <c r="G1487" i="1"/>
  <c r="J1487" i="1" s="1"/>
  <c r="F629" i="1"/>
  <c r="I629" i="1" s="1"/>
  <c r="H629" i="1"/>
  <c r="K629" i="1" s="1"/>
  <c r="G629" i="1"/>
  <c r="J629" i="1" s="1"/>
  <c r="F1471" i="1"/>
  <c r="I1471" i="1" s="1"/>
  <c r="H1471" i="1"/>
  <c r="K1471" i="1" s="1"/>
  <c r="G1471" i="1"/>
  <c r="J1471" i="1" s="1"/>
  <c r="F1131" i="1"/>
  <c r="I1131" i="1" s="1"/>
  <c r="H1131" i="1"/>
  <c r="K1131" i="1" s="1"/>
  <c r="G1131" i="1"/>
  <c r="J1131" i="1" s="1"/>
  <c r="F342" i="1"/>
  <c r="I342" i="1" s="1"/>
  <c r="H342" i="1"/>
  <c r="K342" i="1" s="1"/>
  <c r="G342" i="1"/>
  <c r="J342" i="1" s="1"/>
  <c r="F1402" i="1"/>
  <c r="I1402" i="1" s="1"/>
  <c r="H1402" i="1"/>
  <c r="K1402" i="1" s="1"/>
  <c r="G1402" i="1"/>
  <c r="J1402" i="1" s="1"/>
  <c r="F131" i="1"/>
  <c r="I131" i="1" s="1"/>
  <c r="H131" i="1"/>
  <c r="K131" i="1" s="1"/>
  <c r="G131" i="1"/>
  <c r="J131" i="1" s="1"/>
  <c r="F104" i="1"/>
  <c r="I104" i="1" s="1"/>
  <c r="H104" i="1"/>
  <c r="K104" i="1" s="1"/>
  <c r="G104" i="1"/>
  <c r="J104" i="1" s="1"/>
  <c r="F1068" i="1"/>
  <c r="I1068" i="1" s="1"/>
  <c r="G1068" i="1"/>
  <c r="J1068" i="1" s="1"/>
  <c r="H1068" i="1"/>
  <c r="K1068" i="1" s="1"/>
  <c r="F1293" i="1"/>
  <c r="I1293" i="1" s="1"/>
  <c r="H1293" i="1"/>
  <c r="K1293" i="1" s="1"/>
  <c r="G1293" i="1"/>
  <c r="J1293" i="1" s="1"/>
  <c r="F1395" i="1"/>
  <c r="I1395" i="1" s="1"/>
  <c r="H1395" i="1"/>
  <c r="K1395" i="1" s="1"/>
  <c r="G1395" i="1"/>
  <c r="J1395" i="1" s="1"/>
  <c r="F1209" i="1"/>
  <c r="I1209" i="1" s="1"/>
  <c r="H1209" i="1"/>
  <c r="K1209" i="1" s="1"/>
  <c r="G1209" i="1"/>
  <c r="J1209" i="1" s="1"/>
  <c r="F1506" i="1"/>
  <c r="I1506" i="1" s="1"/>
  <c r="H1506" i="1"/>
  <c r="K1506" i="1" s="1"/>
  <c r="G1506" i="1"/>
  <c r="J1506" i="1" s="1"/>
  <c r="F239" i="1"/>
  <c r="I239" i="1" s="1"/>
  <c r="H239" i="1"/>
  <c r="K239" i="1" s="1"/>
  <c r="G239" i="1"/>
  <c r="J239" i="1" s="1"/>
  <c r="F354" i="1"/>
  <c r="I354" i="1" s="1"/>
  <c r="H354" i="1"/>
  <c r="K354" i="1" s="1"/>
  <c r="G354" i="1"/>
  <c r="J354" i="1" s="1"/>
  <c r="F275" i="1"/>
  <c r="I275" i="1" s="1"/>
  <c r="H275" i="1"/>
  <c r="K275" i="1" s="1"/>
  <c r="G275" i="1"/>
  <c r="J275" i="1" s="1"/>
  <c r="F255" i="1"/>
  <c r="I255" i="1" s="1"/>
  <c r="H255" i="1"/>
  <c r="K255" i="1" s="1"/>
  <c r="G255" i="1"/>
  <c r="J255" i="1" s="1"/>
  <c r="F1558" i="1"/>
  <c r="I1558" i="1" s="1"/>
  <c r="H1558" i="1"/>
  <c r="K1558" i="1" s="1"/>
  <c r="G1558" i="1"/>
  <c r="J1558" i="1" s="1"/>
  <c r="F1552" i="1"/>
  <c r="I1552" i="1" s="1"/>
  <c r="H1552" i="1"/>
  <c r="K1552" i="1" s="1"/>
  <c r="G1552" i="1"/>
  <c r="J1552" i="1" s="1"/>
  <c r="F560" i="1"/>
  <c r="I560" i="1" s="1"/>
  <c r="H560" i="1"/>
  <c r="K560" i="1" s="1"/>
  <c r="G560" i="1"/>
  <c r="J560" i="1" s="1"/>
  <c r="F779" i="1"/>
  <c r="I779" i="1" s="1"/>
  <c r="H779" i="1"/>
  <c r="K779" i="1" s="1"/>
  <c r="G779" i="1"/>
  <c r="J779" i="1" s="1"/>
  <c r="F97" i="1"/>
  <c r="I97" i="1" s="1"/>
  <c r="H97" i="1"/>
  <c r="K97" i="1" s="1"/>
  <c r="G97" i="1"/>
  <c r="J97" i="1" s="1"/>
  <c r="F1421" i="1"/>
  <c r="I1421" i="1" s="1"/>
  <c r="H1421" i="1"/>
  <c r="K1421" i="1" s="1"/>
  <c r="G1421" i="1"/>
  <c r="J1421" i="1" s="1"/>
  <c r="F1249" i="1"/>
  <c r="I1249" i="1" s="1"/>
  <c r="H1249" i="1"/>
  <c r="K1249" i="1" s="1"/>
  <c r="G1249" i="1"/>
  <c r="J1249" i="1" s="1"/>
  <c r="F365" i="1"/>
  <c r="I365" i="1" s="1"/>
  <c r="G365" i="1"/>
  <c r="J365" i="1" s="1"/>
  <c r="H365" i="1"/>
  <c r="K365" i="1" s="1"/>
  <c r="F434" i="1"/>
  <c r="I434" i="1" s="1"/>
  <c r="H434" i="1"/>
  <c r="K434" i="1" s="1"/>
  <c r="G434" i="1"/>
  <c r="J434" i="1" s="1"/>
  <c r="F514" i="1"/>
  <c r="I514" i="1" s="1"/>
  <c r="H514" i="1"/>
  <c r="K514" i="1" s="1"/>
  <c r="G514" i="1"/>
  <c r="J514" i="1" s="1"/>
  <c r="F576" i="1"/>
  <c r="I576" i="1" s="1"/>
  <c r="H576" i="1"/>
  <c r="K576" i="1" s="1"/>
  <c r="G576" i="1"/>
  <c r="J576" i="1" s="1"/>
  <c r="F824" i="1"/>
  <c r="I824" i="1" s="1"/>
  <c r="H824" i="1"/>
  <c r="K824" i="1" s="1"/>
  <c r="G824" i="1"/>
  <c r="J824" i="1" s="1"/>
  <c r="F231" i="1"/>
  <c r="I231" i="1" s="1"/>
  <c r="H231" i="1"/>
  <c r="K231" i="1" s="1"/>
  <c r="G231" i="1"/>
  <c r="J231" i="1" s="1"/>
  <c r="F215" i="1"/>
  <c r="I215" i="1" s="1"/>
  <c r="H215" i="1"/>
  <c r="K215" i="1" s="1"/>
  <c r="G215" i="1"/>
  <c r="J215" i="1" s="1"/>
  <c r="F1120" i="1"/>
  <c r="I1120" i="1" s="1"/>
  <c r="H1120" i="1"/>
  <c r="K1120" i="1" s="1"/>
  <c r="G1120" i="1"/>
  <c r="J1120" i="1" s="1"/>
  <c r="F988" i="1"/>
  <c r="I988" i="1" s="1"/>
  <c r="H988" i="1"/>
  <c r="K988" i="1" s="1"/>
  <c r="G988" i="1"/>
  <c r="J988" i="1" s="1"/>
  <c r="F10" i="1"/>
  <c r="I10" i="1" s="1"/>
  <c r="H10" i="1"/>
  <c r="K10" i="1" s="1"/>
  <c r="G10" i="1"/>
  <c r="J10" i="1" s="1"/>
  <c r="F428" i="1"/>
  <c r="I428" i="1" s="1"/>
  <c r="H428" i="1"/>
  <c r="K428" i="1" s="1"/>
  <c r="G428" i="1"/>
  <c r="J428" i="1" s="1"/>
  <c r="F411" i="1"/>
  <c r="I411" i="1" s="1"/>
  <c r="H411" i="1"/>
  <c r="K411" i="1" s="1"/>
  <c r="G411" i="1"/>
  <c r="J411" i="1" s="1"/>
  <c r="F587" i="1"/>
  <c r="I587" i="1" s="1"/>
  <c r="G587" i="1"/>
  <c r="J587" i="1" s="1"/>
  <c r="H587" i="1"/>
  <c r="K587" i="1" s="1"/>
  <c r="F471" i="1"/>
  <c r="I471" i="1" s="1"/>
  <c r="H471" i="1"/>
  <c r="K471" i="1" s="1"/>
  <c r="G471" i="1"/>
  <c r="J471" i="1" s="1"/>
  <c r="F212" i="1"/>
  <c r="I212" i="1" s="1"/>
  <c r="H212" i="1"/>
  <c r="K212" i="1" s="1"/>
  <c r="G212" i="1"/>
  <c r="J212" i="1" s="1"/>
  <c r="F543" i="1"/>
  <c r="I543" i="1" s="1"/>
  <c r="H543" i="1"/>
  <c r="K543" i="1" s="1"/>
  <c r="G543" i="1"/>
  <c r="J543" i="1" s="1"/>
  <c r="F487" i="1"/>
  <c r="I487" i="1" s="1"/>
  <c r="H487" i="1"/>
  <c r="K487" i="1" s="1"/>
  <c r="G487" i="1"/>
  <c r="J487" i="1" s="1"/>
  <c r="F855" i="1"/>
  <c r="I855" i="1" s="1"/>
  <c r="H855" i="1"/>
  <c r="K855" i="1" s="1"/>
  <c r="G855" i="1"/>
  <c r="J855" i="1" s="1"/>
  <c r="F781" i="1"/>
  <c r="I781" i="1" s="1"/>
  <c r="H781" i="1"/>
  <c r="K781" i="1" s="1"/>
  <c r="G781" i="1"/>
  <c r="J781" i="1" s="1"/>
  <c r="F550" i="1"/>
  <c r="I550" i="1" s="1"/>
  <c r="H550" i="1"/>
  <c r="K550" i="1" s="1"/>
  <c r="G550" i="1"/>
  <c r="J550" i="1" s="1"/>
  <c r="F165" i="1"/>
  <c r="I165" i="1" s="1"/>
  <c r="H165" i="1"/>
  <c r="K165" i="1" s="1"/>
  <c r="G165" i="1"/>
  <c r="J165" i="1" s="1"/>
  <c r="F667" i="1"/>
  <c r="I667" i="1" s="1"/>
  <c r="H667" i="1"/>
  <c r="K667" i="1" s="1"/>
  <c r="G667" i="1"/>
  <c r="J667" i="1" s="1"/>
  <c r="F770" i="1"/>
  <c r="I770" i="1" s="1"/>
  <c r="H770" i="1"/>
  <c r="K770" i="1" s="1"/>
  <c r="G770" i="1"/>
  <c r="J770" i="1" s="1"/>
  <c r="F313" i="1"/>
  <c r="I313" i="1" s="1"/>
  <c r="G313" i="1"/>
  <c r="J313" i="1" s="1"/>
  <c r="H313" i="1"/>
  <c r="K313" i="1" s="1"/>
  <c r="F1477" i="1"/>
  <c r="I1477" i="1" s="1"/>
  <c r="H1477" i="1"/>
  <c r="K1477" i="1" s="1"/>
  <c r="G1477" i="1"/>
  <c r="J1477" i="1" s="1"/>
  <c r="F436" i="1"/>
  <c r="I436" i="1" s="1"/>
  <c r="H436" i="1"/>
  <c r="K436" i="1" s="1"/>
  <c r="G436" i="1"/>
  <c r="J436" i="1" s="1"/>
  <c r="F1040" i="1"/>
  <c r="I1040" i="1" s="1"/>
  <c r="H1040" i="1"/>
  <c r="K1040" i="1" s="1"/>
  <c r="G1040" i="1"/>
  <c r="J1040" i="1" s="1"/>
  <c r="F320" i="1"/>
  <c r="I320" i="1" s="1"/>
  <c r="H320" i="1"/>
  <c r="K320" i="1" s="1"/>
  <c r="G320" i="1"/>
  <c r="J320" i="1" s="1"/>
  <c r="F607" i="1"/>
  <c r="I607" i="1" s="1"/>
  <c r="H607" i="1"/>
  <c r="K607" i="1" s="1"/>
  <c r="G607" i="1"/>
  <c r="J607" i="1" s="1"/>
  <c r="F958" i="1"/>
  <c r="I958" i="1" s="1"/>
  <c r="H958" i="1"/>
  <c r="K958" i="1" s="1"/>
  <c r="G958" i="1"/>
  <c r="J958" i="1" s="1"/>
  <c r="F600" i="1"/>
  <c r="I600" i="1" s="1"/>
  <c r="H600" i="1"/>
  <c r="K600" i="1" s="1"/>
  <c r="G600" i="1"/>
  <c r="J600" i="1" s="1"/>
  <c r="F39" i="1"/>
  <c r="I39" i="1" s="1"/>
  <c r="H39" i="1"/>
  <c r="K39" i="1" s="1"/>
  <c r="G39" i="1"/>
  <c r="J39" i="1" s="1"/>
  <c r="F653" i="1"/>
  <c r="I653" i="1" s="1"/>
  <c r="H653" i="1"/>
  <c r="K653" i="1" s="1"/>
  <c r="G653" i="1"/>
  <c r="J653" i="1" s="1"/>
  <c r="F1172" i="1"/>
  <c r="I1172" i="1" s="1"/>
  <c r="G1172" i="1"/>
  <c r="J1172" i="1" s="1"/>
  <c r="H1172" i="1"/>
  <c r="K1172" i="1" s="1"/>
  <c r="F464" i="1"/>
  <c r="I464" i="1" s="1"/>
  <c r="G464" i="1"/>
  <c r="J464" i="1" s="1"/>
  <c r="H464" i="1"/>
  <c r="K464" i="1" s="1"/>
  <c r="F739" i="1"/>
  <c r="I739" i="1" s="1"/>
  <c r="H739" i="1"/>
  <c r="K739" i="1" s="1"/>
  <c r="G739" i="1"/>
  <c r="J739" i="1" s="1"/>
  <c r="F1133" i="1"/>
  <c r="I1133" i="1" s="1"/>
  <c r="H1133" i="1"/>
  <c r="K1133" i="1" s="1"/>
  <c r="G1133" i="1"/>
  <c r="J1133" i="1" s="1"/>
  <c r="F798" i="1"/>
  <c r="I798" i="1" s="1"/>
  <c r="H798" i="1"/>
  <c r="K798" i="1" s="1"/>
  <c r="G798" i="1"/>
  <c r="J798" i="1" s="1"/>
  <c r="F337" i="1"/>
  <c r="I337" i="1" s="1"/>
  <c r="H337" i="1"/>
  <c r="K337" i="1" s="1"/>
  <c r="G337" i="1"/>
  <c r="J337" i="1" s="1"/>
  <c r="F826" i="1"/>
  <c r="I826" i="1" s="1"/>
  <c r="H826" i="1"/>
  <c r="K826" i="1" s="1"/>
  <c r="G826" i="1"/>
  <c r="J826" i="1" s="1"/>
  <c r="F1304" i="1"/>
  <c r="I1304" i="1" s="1"/>
  <c r="H1304" i="1"/>
  <c r="K1304" i="1" s="1"/>
  <c r="G1304" i="1"/>
  <c r="J1304" i="1" s="1"/>
  <c r="F20" i="1"/>
  <c r="I20" i="1" s="1"/>
  <c r="H20" i="1"/>
  <c r="K20" i="1" s="1"/>
  <c r="G20" i="1"/>
  <c r="J20" i="1" s="1"/>
  <c r="F871" i="1"/>
  <c r="I871" i="1" s="1"/>
  <c r="H871" i="1"/>
  <c r="K871" i="1" s="1"/>
  <c r="G871" i="1"/>
  <c r="J871" i="1" s="1"/>
  <c r="F1290" i="1"/>
  <c r="I1290" i="1" s="1"/>
  <c r="G1290" i="1"/>
  <c r="J1290" i="1" s="1"/>
  <c r="H1290" i="1"/>
  <c r="K1290" i="1" s="1"/>
  <c r="F987" i="1"/>
  <c r="I987" i="1" s="1"/>
  <c r="H987" i="1"/>
  <c r="K987" i="1" s="1"/>
  <c r="G987" i="1"/>
  <c r="J987" i="1" s="1"/>
  <c r="F615" i="1"/>
  <c r="I615" i="1" s="1"/>
  <c r="H615" i="1"/>
  <c r="K615" i="1" s="1"/>
  <c r="G615" i="1"/>
  <c r="J615" i="1" s="1"/>
  <c r="F999" i="1"/>
  <c r="I999" i="1" s="1"/>
  <c r="H999" i="1"/>
  <c r="K999" i="1" s="1"/>
  <c r="G999" i="1"/>
  <c r="J999" i="1" s="1"/>
  <c r="F1436" i="1"/>
  <c r="I1436" i="1" s="1"/>
  <c r="H1436" i="1"/>
  <c r="K1436" i="1" s="1"/>
  <c r="G1436" i="1"/>
  <c r="J1436" i="1" s="1"/>
  <c r="F164" i="1"/>
  <c r="I164" i="1" s="1"/>
  <c r="H164" i="1"/>
  <c r="K164" i="1" s="1"/>
  <c r="G164" i="1"/>
  <c r="J164" i="1" s="1"/>
  <c r="F1003" i="1"/>
  <c r="I1003" i="1" s="1"/>
  <c r="H1003" i="1"/>
  <c r="K1003" i="1" s="1"/>
  <c r="G1003" i="1"/>
  <c r="J1003" i="1" s="1"/>
  <c r="F998" i="1"/>
  <c r="I998" i="1" s="1"/>
  <c r="H998" i="1"/>
  <c r="K998" i="1" s="1"/>
  <c r="G998" i="1"/>
  <c r="J998" i="1" s="1"/>
  <c r="F867" i="1"/>
  <c r="I867" i="1" s="1"/>
  <c r="H867" i="1"/>
  <c r="K867" i="1" s="1"/>
  <c r="G867" i="1"/>
  <c r="J867" i="1" s="1"/>
  <c r="F678" i="1"/>
  <c r="I678" i="1" s="1"/>
  <c r="H678" i="1"/>
  <c r="K678" i="1" s="1"/>
  <c r="G678" i="1"/>
  <c r="J678" i="1" s="1"/>
  <c r="F1155" i="1"/>
  <c r="I1155" i="1" s="1"/>
  <c r="G1155" i="1"/>
  <c r="J1155" i="1" s="1"/>
  <c r="H1155" i="1"/>
  <c r="K1155" i="1" s="1"/>
  <c r="F1200" i="1"/>
  <c r="I1200" i="1" s="1"/>
  <c r="H1200" i="1"/>
  <c r="K1200" i="1" s="1"/>
  <c r="G1200" i="1"/>
  <c r="J1200" i="1" s="1"/>
  <c r="F129" i="1"/>
  <c r="I129" i="1" s="1"/>
  <c r="H129" i="1"/>
  <c r="K129" i="1" s="1"/>
  <c r="G129" i="1"/>
  <c r="J129" i="1" s="1"/>
  <c r="F534" i="1"/>
  <c r="I534" i="1" s="1"/>
  <c r="H534" i="1"/>
  <c r="K534" i="1" s="1"/>
  <c r="G534" i="1"/>
  <c r="J534" i="1" s="1"/>
  <c r="F490" i="1"/>
  <c r="I490" i="1" s="1"/>
  <c r="H490" i="1"/>
  <c r="K490" i="1" s="1"/>
  <c r="G490" i="1"/>
  <c r="J490" i="1" s="1"/>
  <c r="F961" i="1"/>
  <c r="I961" i="1" s="1"/>
  <c r="H961" i="1"/>
  <c r="K961" i="1" s="1"/>
  <c r="G961" i="1"/>
  <c r="J961" i="1" s="1"/>
  <c r="F372" i="1"/>
  <c r="I372" i="1" s="1"/>
  <c r="H372" i="1"/>
  <c r="K372" i="1" s="1"/>
  <c r="G372" i="1"/>
  <c r="J372" i="1" s="1"/>
  <c r="F1379" i="1"/>
  <c r="I1379" i="1" s="1"/>
  <c r="H1379" i="1"/>
  <c r="K1379" i="1" s="1"/>
  <c r="G1379" i="1"/>
  <c r="J1379" i="1" s="1"/>
  <c r="F1510" i="1"/>
  <c r="I1510" i="1" s="1"/>
  <c r="H1510" i="1"/>
  <c r="K1510" i="1" s="1"/>
  <c r="G1510" i="1"/>
  <c r="J1510" i="1" s="1"/>
  <c r="F594" i="1"/>
  <c r="I594" i="1" s="1"/>
  <c r="H594" i="1"/>
  <c r="K594" i="1" s="1"/>
  <c r="G594" i="1"/>
  <c r="J594" i="1" s="1"/>
  <c r="F1420" i="1"/>
  <c r="I1420" i="1" s="1"/>
  <c r="G1420" i="1"/>
  <c r="J1420" i="1" s="1"/>
  <c r="H1420" i="1"/>
  <c r="K1420" i="1" s="1"/>
  <c r="F332" i="1"/>
  <c r="I332" i="1" s="1"/>
  <c r="H332" i="1"/>
  <c r="K332" i="1" s="1"/>
  <c r="G332" i="1"/>
  <c r="J332" i="1" s="1"/>
  <c r="F318" i="1"/>
  <c r="I318" i="1" s="1"/>
  <c r="H318" i="1"/>
  <c r="K318" i="1" s="1"/>
  <c r="G318" i="1"/>
  <c r="J318" i="1" s="1"/>
  <c r="F1457" i="1"/>
  <c r="I1457" i="1" s="1"/>
  <c r="H1457" i="1"/>
  <c r="K1457" i="1" s="1"/>
  <c r="G1457" i="1"/>
  <c r="J1457" i="1" s="1"/>
  <c r="F1394" i="1"/>
  <c r="I1394" i="1" s="1"/>
  <c r="H1394" i="1"/>
  <c r="K1394" i="1" s="1"/>
  <c r="G1394" i="1"/>
  <c r="J1394" i="1" s="1"/>
  <c r="F1359" i="1"/>
  <c r="I1359" i="1" s="1"/>
  <c r="H1359" i="1"/>
  <c r="K1359" i="1" s="1"/>
  <c r="G1359" i="1"/>
  <c r="J1359" i="1" s="1"/>
  <c r="F763" i="1"/>
  <c r="I763" i="1" s="1"/>
  <c r="H763" i="1"/>
  <c r="K763" i="1" s="1"/>
  <c r="G763" i="1"/>
  <c r="J763" i="1" s="1"/>
  <c r="F526" i="1"/>
  <c r="I526" i="1" s="1"/>
  <c r="H526" i="1"/>
  <c r="K526" i="1" s="1"/>
  <c r="G526" i="1"/>
  <c r="J526" i="1" s="1"/>
  <c r="F1575" i="1"/>
  <c r="I1575" i="1" s="1"/>
  <c r="H1575" i="1"/>
  <c r="K1575" i="1" s="1"/>
  <c r="G1575" i="1"/>
  <c r="J1575" i="1" s="1"/>
  <c r="F1085" i="1"/>
  <c r="I1085" i="1" s="1"/>
  <c r="H1085" i="1"/>
  <c r="K1085" i="1" s="1"/>
  <c r="G1085" i="1"/>
  <c r="J1085" i="1" s="1"/>
  <c r="F1515" i="1"/>
  <c r="I1515" i="1" s="1"/>
  <c r="H1515" i="1"/>
  <c r="K1515" i="1" s="1"/>
  <c r="G1515" i="1"/>
  <c r="J1515" i="1" s="1"/>
  <c r="F771" i="1"/>
  <c r="I771" i="1" s="1"/>
  <c r="H771" i="1"/>
  <c r="K771" i="1" s="1"/>
  <c r="G771" i="1"/>
  <c r="J771" i="1" s="1"/>
  <c r="F521" i="1"/>
  <c r="I521" i="1" s="1"/>
  <c r="H521" i="1"/>
  <c r="K521" i="1" s="1"/>
  <c r="G521" i="1"/>
  <c r="J521" i="1" s="1"/>
  <c r="F746" i="1"/>
  <c r="I746" i="1" s="1"/>
  <c r="H746" i="1"/>
  <c r="K746" i="1" s="1"/>
  <c r="G746" i="1"/>
  <c r="J746" i="1" s="1"/>
  <c r="F631" i="1"/>
  <c r="I631" i="1" s="1"/>
  <c r="H631" i="1"/>
  <c r="K631" i="1" s="1"/>
  <c r="G631" i="1"/>
  <c r="J631" i="1" s="1"/>
  <c r="F1410" i="1"/>
  <c r="I1410" i="1" s="1"/>
  <c r="H1410" i="1"/>
  <c r="K1410" i="1" s="1"/>
  <c r="G1410" i="1"/>
  <c r="J1410" i="1" s="1"/>
  <c r="F1033" i="1"/>
  <c r="I1033" i="1" s="1"/>
  <c r="G1033" i="1"/>
  <c r="J1033" i="1" s="1"/>
  <c r="H1033" i="1"/>
  <c r="K1033" i="1" s="1"/>
  <c r="F756" i="1"/>
  <c r="I756" i="1" s="1"/>
  <c r="H756" i="1"/>
  <c r="K756" i="1" s="1"/>
  <c r="G756" i="1"/>
  <c r="J756" i="1" s="1"/>
  <c r="F983" i="1"/>
  <c r="I983" i="1" s="1"/>
  <c r="H983" i="1"/>
  <c r="K983" i="1" s="1"/>
  <c r="G983" i="1"/>
  <c r="J983" i="1" s="1"/>
  <c r="F1179" i="1"/>
  <c r="I1179" i="1" s="1"/>
  <c r="H1179" i="1"/>
  <c r="K1179" i="1" s="1"/>
  <c r="G1179" i="1"/>
  <c r="J1179" i="1" s="1"/>
  <c r="F1481" i="1"/>
  <c r="I1481" i="1" s="1"/>
  <c r="H1481" i="1"/>
  <c r="K1481" i="1" s="1"/>
  <c r="G1481" i="1"/>
  <c r="J1481" i="1" s="1"/>
  <c r="F840" i="1"/>
  <c r="I840" i="1" s="1"/>
  <c r="H840" i="1"/>
  <c r="K840" i="1" s="1"/>
  <c r="G840" i="1"/>
  <c r="J840" i="1" s="1"/>
  <c r="F609" i="1"/>
  <c r="I609" i="1" s="1"/>
  <c r="H609" i="1"/>
  <c r="K609" i="1" s="1"/>
  <c r="G609" i="1"/>
  <c r="J609" i="1" s="1"/>
  <c r="F375" i="1"/>
  <c r="I375" i="1" s="1"/>
  <c r="H375" i="1"/>
  <c r="K375" i="1" s="1"/>
  <c r="G375" i="1"/>
  <c r="J375" i="1" s="1"/>
  <c r="F1046" i="1"/>
  <c r="I1046" i="1" s="1"/>
  <c r="H1046" i="1"/>
  <c r="K1046" i="1" s="1"/>
  <c r="G1046" i="1"/>
  <c r="J1046" i="1" s="1"/>
  <c r="F1446" i="1"/>
  <c r="I1446" i="1" s="1"/>
  <c r="H1446" i="1"/>
  <c r="K1446" i="1" s="1"/>
  <c r="G1446" i="1"/>
  <c r="J1446" i="1" s="1"/>
  <c r="F167" i="1"/>
  <c r="I167" i="1" s="1"/>
  <c r="H167" i="1"/>
  <c r="K167" i="1" s="1"/>
  <c r="G167" i="1"/>
  <c r="J167" i="1" s="1"/>
  <c r="F564" i="1"/>
  <c r="I564" i="1" s="1"/>
  <c r="H564" i="1"/>
  <c r="K564" i="1" s="1"/>
  <c r="G564" i="1"/>
  <c r="J564" i="1" s="1"/>
  <c r="F362" i="1"/>
  <c r="I362" i="1" s="1"/>
  <c r="H362" i="1"/>
  <c r="K362" i="1" s="1"/>
  <c r="G362" i="1"/>
  <c r="J362" i="1" s="1"/>
  <c r="F848" i="1"/>
  <c r="I848" i="1" s="1"/>
  <c r="H848" i="1"/>
  <c r="K848" i="1" s="1"/>
  <c r="G848" i="1"/>
  <c r="J848" i="1" s="1"/>
  <c r="F1601" i="1"/>
  <c r="I1601" i="1" s="1"/>
  <c r="H1601" i="1"/>
  <c r="K1601" i="1" s="1"/>
  <c r="G1601" i="1"/>
  <c r="J1601" i="1" s="1"/>
  <c r="F1385" i="1"/>
  <c r="I1385" i="1" s="1"/>
  <c r="H1385" i="1"/>
  <c r="K1385" i="1" s="1"/>
  <c r="G1385" i="1"/>
  <c r="J1385" i="1" s="1"/>
  <c r="F838" i="1"/>
  <c r="I838" i="1" s="1"/>
  <c r="H838" i="1"/>
  <c r="K838" i="1" s="1"/>
  <c r="G838" i="1"/>
  <c r="J838" i="1" s="1"/>
  <c r="F1268" i="1"/>
  <c r="I1268" i="1" s="1"/>
  <c r="G1268" i="1"/>
  <c r="J1268" i="1" s="1"/>
  <c r="H1268" i="1"/>
  <c r="K1268" i="1" s="1"/>
  <c r="F1331" i="1"/>
  <c r="I1331" i="1" s="1"/>
  <c r="H1331" i="1"/>
  <c r="K1331" i="1" s="1"/>
  <c r="G1331" i="1"/>
  <c r="J1331" i="1" s="1"/>
  <c r="F538" i="1"/>
  <c r="I538" i="1" s="1"/>
  <c r="H538" i="1"/>
  <c r="K538" i="1" s="1"/>
  <c r="G538" i="1"/>
  <c r="J538" i="1" s="1"/>
  <c r="F1007" i="1"/>
  <c r="I1007" i="1" s="1"/>
  <c r="H1007" i="1"/>
  <c r="K1007" i="1" s="1"/>
  <c r="G1007" i="1"/>
  <c r="J1007" i="1" s="1"/>
  <c r="F447" i="1"/>
  <c r="I447" i="1" s="1"/>
  <c r="H447" i="1"/>
  <c r="K447" i="1" s="1"/>
  <c r="G447" i="1"/>
  <c r="J447" i="1" s="1"/>
  <c r="F138" i="1"/>
  <c r="I138" i="1" s="1"/>
  <c r="H138" i="1"/>
  <c r="K138" i="1" s="1"/>
  <c r="G138" i="1"/>
  <c r="J138" i="1" s="1"/>
  <c r="F1514" i="1"/>
  <c r="I1514" i="1" s="1"/>
  <c r="H1514" i="1"/>
  <c r="K1514" i="1" s="1"/>
  <c r="G1514" i="1"/>
  <c r="J1514" i="1" s="1"/>
  <c r="F1322" i="1"/>
  <c r="I1322" i="1" s="1"/>
  <c r="H1322" i="1"/>
  <c r="K1322" i="1" s="1"/>
  <c r="G1322" i="1"/>
  <c r="J1322" i="1" s="1"/>
  <c r="F869" i="1"/>
  <c r="I869" i="1" s="1"/>
  <c r="H869" i="1"/>
  <c r="K869" i="1" s="1"/>
  <c r="G869" i="1"/>
  <c r="J869" i="1" s="1"/>
  <c r="F1347" i="1"/>
  <c r="I1347" i="1" s="1"/>
  <c r="H1347" i="1"/>
  <c r="K1347" i="1" s="1"/>
  <c r="G1347" i="1"/>
  <c r="J1347" i="1" s="1"/>
  <c r="F270" i="1"/>
  <c r="I270" i="1" s="1"/>
  <c r="H270" i="1"/>
  <c r="K270" i="1" s="1"/>
  <c r="G270" i="1"/>
  <c r="J270" i="1" s="1"/>
  <c r="F1307" i="1"/>
  <c r="I1307" i="1" s="1"/>
  <c r="H1307" i="1"/>
  <c r="K1307" i="1" s="1"/>
  <c r="G1307" i="1"/>
  <c r="J1307" i="1" s="1"/>
  <c r="F381" i="1"/>
  <c r="I381" i="1" s="1"/>
  <c r="H381" i="1"/>
  <c r="K381" i="1" s="1"/>
  <c r="G381" i="1"/>
  <c r="J381" i="1" s="1"/>
  <c r="F801" i="1"/>
  <c r="I801" i="1" s="1"/>
  <c r="H801" i="1"/>
  <c r="K801" i="1" s="1"/>
  <c r="G801" i="1"/>
  <c r="J801" i="1" s="1"/>
  <c r="F944" i="1"/>
  <c r="I944" i="1" s="1"/>
  <c r="H944" i="1"/>
  <c r="K944" i="1" s="1"/>
  <c r="G944" i="1"/>
  <c r="J944" i="1" s="1"/>
  <c r="F804" i="1"/>
  <c r="I804" i="1" s="1"/>
  <c r="H804" i="1"/>
  <c r="K804" i="1" s="1"/>
  <c r="G804" i="1"/>
  <c r="J804" i="1" s="1"/>
  <c r="F981" i="1"/>
  <c r="I981" i="1" s="1"/>
  <c r="H981" i="1"/>
  <c r="K981" i="1" s="1"/>
  <c r="G981" i="1"/>
  <c r="J981" i="1" s="1"/>
  <c r="F125" i="1"/>
  <c r="I125" i="1" s="1"/>
  <c r="H125" i="1"/>
  <c r="K125" i="1" s="1"/>
  <c r="G125" i="1"/>
  <c r="J125" i="1" s="1"/>
  <c r="F888" i="1"/>
  <c r="I888" i="1" s="1"/>
  <c r="H888" i="1"/>
  <c r="K888" i="1" s="1"/>
  <c r="G888" i="1"/>
  <c r="J888" i="1" s="1"/>
  <c r="F406" i="1"/>
  <c r="I406" i="1" s="1"/>
  <c r="H406" i="1"/>
  <c r="K406" i="1" s="1"/>
  <c r="G406" i="1"/>
  <c r="J406" i="1" s="1"/>
  <c r="F1170" i="1"/>
  <c r="I1170" i="1" s="1"/>
  <c r="H1170" i="1"/>
  <c r="K1170" i="1" s="1"/>
  <c r="G1170" i="1"/>
  <c r="J1170" i="1" s="1"/>
  <c r="F244" i="1"/>
  <c r="I244" i="1" s="1"/>
  <c r="H244" i="1"/>
  <c r="K244" i="1" s="1"/>
  <c r="G244" i="1"/>
  <c r="J244" i="1" s="1"/>
  <c r="F847" i="1"/>
  <c r="I847" i="1" s="1"/>
  <c r="H847" i="1"/>
  <c r="K847" i="1" s="1"/>
  <c r="G847" i="1"/>
  <c r="J847" i="1" s="1"/>
  <c r="F1389" i="1"/>
  <c r="I1389" i="1" s="1"/>
  <c r="G1389" i="1"/>
  <c r="J1389" i="1" s="1"/>
  <c r="H1389" i="1"/>
  <c r="K1389" i="1" s="1"/>
  <c r="F1130" i="1"/>
  <c r="I1130" i="1" s="1"/>
  <c r="H1130" i="1"/>
  <c r="K1130" i="1" s="1"/>
  <c r="G1130" i="1"/>
  <c r="J1130" i="1" s="1"/>
  <c r="F1259" i="1"/>
  <c r="I1259" i="1" s="1"/>
  <c r="H1259" i="1"/>
  <c r="K1259" i="1" s="1"/>
  <c r="G1259" i="1"/>
  <c r="J1259" i="1" s="1"/>
  <c r="F529" i="1"/>
  <c r="I529" i="1" s="1"/>
  <c r="H529" i="1"/>
  <c r="K529" i="1" s="1"/>
  <c r="G529" i="1"/>
  <c r="J529" i="1" s="1"/>
  <c r="F956" i="1"/>
  <c r="I956" i="1" s="1"/>
  <c r="H956" i="1"/>
  <c r="K956" i="1" s="1"/>
  <c r="G956" i="1"/>
  <c r="J956" i="1" s="1"/>
  <c r="F1551" i="1"/>
  <c r="I1551" i="1" s="1"/>
  <c r="H1551" i="1"/>
  <c r="K1551" i="1" s="1"/>
  <c r="G1551" i="1"/>
  <c r="J1551" i="1" s="1"/>
  <c r="F953" i="1"/>
  <c r="I953" i="1" s="1"/>
  <c r="H953" i="1"/>
  <c r="K953" i="1" s="1"/>
  <c r="G953" i="1"/>
  <c r="J953" i="1" s="1"/>
  <c r="F326" i="1"/>
  <c r="I326" i="1" s="1"/>
  <c r="H326" i="1"/>
  <c r="K326" i="1" s="1"/>
  <c r="G326" i="1"/>
  <c r="J326" i="1" s="1"/>
  <c r="F893" i="1"/>
  <c r="I893" i="1" s="1"/>
  <c r="H893" i="1"/>
  <c r="K893" i="1" s="1"/>
  <c r="G893" i="1"/>
  <c r="J893" i="1" s="1"/>
  <c r="F1145" i="1"/>
  <c r="I1145" i="1" s="1"/>
  <c r="G1145" i="1"/>
  <c r="J1145" i="1" s="1"/>
  <c r="H1145" i="1"/>
  <c r="K1145" i="1" s="1"/>
  <c r="F881" i="1"/>
  <c r="I881" i="1" s="1"/>
  <c r="H881" i="1"/>
  <c r="K881" i="1" s="1"/>
  <c r="G881" i="1"/>
  <c r="J881" i="1" s="1"/>
  <c r="F1467" i="1"/>
  <c r="I1467" i="1" s="1"/>
  <c r="H1467" i="1"/>
  <c r="K1467" i="1" s="1"/>
  <c r="G1467" i="1"/>
  <c r="J1467" i="1" s="1"/>
  <c r="F519" i="1"/>
  <c r="I519" i="1" s="1"/>
  <c r="H519" i="1"/>
  <c r="K519" i="1" s="1"/>
  <c r="G519" i="1"/>
  <c r="J519" i="1" s="1"/>
  <c r="F200" i="1"/>
  <c r="I200" i="1" s="1"/>
  <c r="H200" i="1"/>
  <c r="K200" i="1" s="1"/>
  <c r="G200" i="1"/>
  <c r="J200" i="1" s="1"/>
  <c r="F1492" i="1"/>
  <c r="I1492" i="1" s="1"/>
  <c r="H1492" i="1"/>
  <c r="K1492" i="1" s="1"/>
  <c r="G1492" i="1"/>
  <c r="J1492" i="1" s="1"/>
  <c r="F1240" i="1"/>
  <c r="I1240" i="1" s="1"/>
  <c r="H1240" i="1"/>
  <c r="K1240" i="1" s="1"/>
  <c r="G1240" i="1"/>
  <c r="J1240" i="1" s="1"/>
  <c r="F299" i="1"/>
  <c r="I299" i="1" s="1"/>
  <c r="H299" i="1"/>
  <c r="K299" i="1" s="1"/>
  <c r="G299" i="1"/>
  <c r="J299" i="1" s="1"/>
  <c r="F262" i="1"/>
  <c r="I262" i="1" s="1"/>
  <c r="H262" i="1"/>
  <c r="K262" i="1" s="1"/>
  <c r="G262" i="1"/>
  <c r="J262" i="1" s="1"/>
  <c r="F1079" i="1"/>
  <c r="I1079" i="1" s="1"/>
  <c r="H1079" i="1"/>
  <c r="K1079" i="1" s="1"/>
  <c r="G1079" i="1"/>
  <c r="J1079" i="1" s="1"/>
  <c r="F1568" i="1"/>
  <c r="I1568" i="1" s="1"/>
  <c r="G1568" i="1"/>
  <c r="J1568" i="1" s="1"/>
  <c r="H1568" i="1"/>
  <c r="K1568" i="1" s="1"/>
  <c r="F1060" i="1"/>
  <c r="I1060" i="1" s="1"/>
  <c r="H1060" i="1"/>
  <c r="K1060" i="1" s="1"/>
  <c r="G1060" i="1"/>
  <c r="J1060" i="1" s="1"/>
  <c r="F790" i="1"/>
  <c r="I790" i="1" s="1"/>
  <c r="H790" i="1"/>
  <c r="K790" i="1" s="1"/>
  <c r="G790" i="1"/>
  <c r="J790" i="1" s="1"/>
  <c r="F713" i="1"/>
  <c r="I713" i="1" s="1"/>
  <c r="H713" i="1"/>
  <c r="K713" i="1" s="1"/>
  <c r="G713" i="1"/>
  <c r="J713" i="1" s="1"/>
  <c r="F1353" i="1"/>
  <c r="I1353" i="1" s="1"/>
  <c r="H1353" i="1"/>
  <c r="K1353" i="1" s="1"/>
  <c r="G1353" i="1"/>
  <c r="J1353" i="1" s="1"/>
  <c r="F218" i="1"/>
  <c r="I218" i="1" s="1"/>
  <c r="H218" i="1"/>
  <c r="K218" i="1" s="1"/>
  <c r="G218" i="1"/>
  <c r="J218" i="1" s="1"/>
  <c r="F202" i="1"/>
  <c r="I202" i="1" s="1"/>
  <c r="H202" i="1"/>
  <c r="K202" i="1" s="1"/>
  <c r="G202" i="1"/>
  <c r="J202" i="1" s="1"/>
  <c r="F51" i="1"/>
  <c r="I51" i="1" s="1"/>
  <c r="H51" i="1"/>
  <c r="K51" i="1" s="1"/>
  <c r="G51" i="1"/>
  <c r="J51" i="1" s="1"/>
  <c r="F778" i="1"/>
  <c r="I778" i="1" s="1"/>
  <c r="H778" i="1"/>
  <c r="K778" i="1" s="1"/>
  <c r="G778" i="1"/>
  <c r="J778" i="1" s="1"/>
  <c r="F525" i="1"/>
  <c r="I525" i="1" s="1"/>
  <c r="H525" i="1"/>
  <c r="K525" i="1" s="1"/>
  <c r="G525" i="1"/>
  <c r="J525" i="1" s="1"/>
  <c r="F281" i="1"/>
  <c r="I281" i="1" s="1"/>
  <c r="H281" i="1"/>
  <c r="K281" i="1" s="1"/>
  <c r="G281" i="1"/>
  <c r="J281" i="1" s="1"/>
  <c r="F247" i="1"/>
  <c r="I247" i="1" s="1"/>
  <c r="H247" i="1"/>
  <c r="K247" i="1" s="1"/>
  <c r="G247" i="1"/>
  <c r="J247" i="1" s="1"/>
  <c r="F563" i="1"/>
  <c r="I563" i="1" s="1"/>
  <c r="G563" i="1"/>
  <c r="J563" i="1" s="1"/>
  <c r="H563" i="1"/>
  <c r="K563" i="1" s="1"/>
  <c r="F445" i="1"/>
  <c r="I445" i="1" s="1"/>
  <c r="H445" i="1"/>
  <c r="K445" i="1" s="1"/>
  <c r="G445" i="1"/>
  <c r="J445" i="1" s="1"/>
  <c r="F193" i="1"/>
  <c r="I193" i="1" s="1"/>
  <c r="H193" i="1"/>
  <c r="K193" i="1" s="1"/>
  <c r="G193" i="1"/>
  <c r="J193" i="1" s="1"/>
  <c r="F530" i="1"/>
  <c r="I530" i="1" s="1"/>
  <c r="H530" i="1"/>
  <c r="K530" i="1" s="1"/>
  <c r="G530" i="1"/>
  <c r="J530" i="1" s="1"/>
  <c r="F475" i="1"/>
  <c r="I475" i="1" s="1"/>
  <c r="H475" i="1"/>
  <c r="K475" i="1" s="1"/>
  <c r="G475" i="1"/>
  <c r="J475" i="1" s="1"/>
  <c r="F537" i="1"/>
  <c r="I537" i="1" s="1"/>
  <c r="H537" i="1"/>
  <c r="K537" i="1" s="1"/>
  <c r="G537" i="1"/>
  <c r="J537" i="1" s="1"/>
  <c r="F1598" i="1"/>
  <c r="I1598" i="1" s="1"/>
  <c r="H1598" i="1"/>
  <c r="K1598" i="1" s="1"/>
  <c r="G1598" i="1"/>
  <c r="J1598" i="1" s="1"/>
  <c r="F1309" i="1"/>
  <c r="I1309" i="1" s="1"/>
  <c r="G1309" i="1"/>
  <c r="J1309" i="1" s="1"/>
  <c r="H1309" i="1"/>
  <c r="K1309" i="1" s="1"/>
  <c r="F169" i="1"/>
  <c r="I169" i="1" s="1"/>
  <c r="H169" i="1"/>
  <c r="K169" i="1" s="1"/>
  <c r="G169" i="1"/>
  <c r="J169" i="1" s="1"/>
  <c r="F885" i="1"/>
  <c r="I885" i="1" s="1"/>
  <c r="H885" i="1"/>
  <c r="K885" i="1" s="1"/>
  <c r="G885" i="1"/>
  <c r="J885" i="1" s="1"/>
  <c r="F162" i="1"/>
  <c r="I162" i="1" s="1"/>
  <c r="H162" i="1"/>
  <c r="K162" i="1" s="1"/>
  <c r="G162" i="1"/>
  <c r="J162" i="1" s="1"/>
  <c r="F463" i="1"/>
  <c r="I463" i="1" s="1"/>
  <c r="H463" i="1"/>
  <c r="K463" i="1" s="1"/>
  <c r="G463" i="1"/>
  <c r="J463" i="1" s="1"/>
  <c r="F753" i="1"/>
  <c r="I753" i="1" s="1"/>
  <c r="H753" i="1"/>
  <c r="K753" i="1" s="1"/>
  <c r="G753" i="1"/>
  <c r="J753" i="1" s="1"/>
  <c r="F287" i="1"/>
  <c r="I287" i="1" s="1"/>
  <c r="H287" i="1"/>
  <c r="K287" i="1" s="1"/>
  <c r="G287" i="1"/>
  <c r="J287" i="1" s="1"/>
  <c r="F1464" i="1"/>
  <c r="I1464" i="1" s="1"/>
  <c r="H1464" i="1"/>
  <c r="K1464" i="1" s="1"/>
  <c r="G1464" i="1"/>
  <c r="J1464" i="1" s="1"/>
  <c r="F417" i="1"/>
  <c r="I417" i="1" s="1"/>
  <c r="G417" i="1"/>
  <c r="J417" i="1" s="1"/>
  <c r="H417" i="1"/>
  <c r="K417" i="1" s="1"/>
  <c r="F1028" i="1"/>
  <c r="I1028" i="1" s="1"/>
  <c r="H1028" i="1"/>
  <c r="K1028" i="1" s="1"/>
  <c r="G1028" i="1"/>
  <c r="J1028" i="1" s="1"/>
  <c r="F306" i="1"/>
  <c r="I306" i="1" s="1"/>
  <c r="G306" i="1"/>
  <c r="J306" i="1" s="1"/>
  <c r="H306" i="1"/>
  <c r="K306" i="1" s="1"/>
  <c r="F595" i="1"/>
  <c r="I595" i="1" s="1"/>
  <c r="G595" i="1"/>
  <c r="J595" i="1" s="1"/>
  <c r="H595" i="1"/>
  <c r="K595" i="1" s="1"/>
  <c r="F941" i="1"/>
  <c r="I941" i="1" s="1"/>
  <c r="H941" i="1"/>
  <c r="K941" i="1" s="1"/>
  <c r="G941" i="1"/>
  <c r="J941" i="1" s="1"/>
  <c r="F580" i="1"/>
  <c r="I580" i="1" s="1"/>
  <c r="H580" i="1"/>
  <c r="K580" i="1" s="1"/>
  <c r="G580" i="1"/>
  <c r="J580" i="1" s="1"/>
  <c r="F13" i="1"/>
  <c r="I13" i="1" s="1"/>
  <c r="H13" i="1"/>
  <c r="K13" i="1" s="1"/>
  <c r="G13" i="1"/>
  <c r="J13" i="1" s="1"/>
  <c r="F638" i="1"/>
  <c r="I638" i="1" s="1"/>
  <c r="H638" i="1"/>
  <c r="K638" i="1" s="1"/>
  <c r="G638" i="1"/>
  <c r="J638" i="1" s="1"/>
  <c r="F1160" i="1"/>
  <c r="I1160" i="1" s="1"/>
  <c r="H1160" i="1"/>
  <c r="K1160" i="1" s="1"/>
  <c r="G1160" i="1"/>
  <c r="J1160" i="1" s="1"/>
  <c r="F450" i="1"/>
  <c r="I450" i="1" s="1"/>
  <c r="G450" i="1"/>
  <c r="J450" i="1" s="1"/>
  <c r="H450" i="1"/>
  <c r="K450" i="1" s="1"/>
  <c r="F727" i="1"/>
  <c r="I727" i="1" s="1"/>
  <c r="G727" i="1"/>
  <c r="J727" i="1" s="1"/>
  <c r="H727" i="1"/>
  <c r="K727" i="1" s="1"/>
  <c r="F1119" i="1"/>
  <c r="I1119" i="1" s="1"/>
  <c r="H1119" i="1"/>
  <c r="K1119" i="1" s="1"/>
  <c r="G1119" i="1"/>
  <c r="J1119" i="1" s="1"/>
  <c r="F782" i="1"/>
  <c r="I782" i="1" s="1"/>
  <c r="H782" i="1"/>
  <c r="K782" i="1" s="1"/>
  <c r="G782" i="1"/>
  <c r="J782" i="1" s="1"/>
  <c r="F311" i="1"/>
  <c r="I311" i="1" s="1"/>
  <c r="G311" i="1"/>
  <c r="J311" i="1" s="1"/>
  <c r="H311" i="1"/>
  <c r="K311" i="1" s="1"/>
  <c r="F810" i="1"/>
  <c r="I810" i="1" s="1"/>
  <c r="H810" i="1"/>
  <c r="K810" i="1" s="1"/>
  <c r="G810" i="1"/>
  <c r="J810" i="1" s="1"/>
  <c r="F1292" i="1"/>
  <c r="I1292" i="1" s="1"/>
  <c r="H1292" i="1"/>
  <c r="K1292" i="1" s="1"/>
  <c r="G1292" i="1"/>
  <c r="J1292" i="1" s="1"/>
  <c r="F6" i="1"/>
  <c r="I6" i="1" s="1"/>
  <c r="H6" i="1"/>
  <c r="K6" i="1" s="1"/>
  <c r="G6" i="1"/>
  <c r="J6" i="1" s="1"/>
  <c r="F859" i="1"/>
  <c r="I859" i="1" s="1"/>
  <c r="H859" i="1"/>
  <c r="K859" i="1" s="1"/>
  <c r="G859" i="1"/>
  <c r="J859" i="1" s="1"/>
  <c r="F905" i="1"/>
  <c r="I905" i="1" s="1"/>
  <c r="H905" i="1"/>
  <c r="K905" i="1" s="1"/>
  <c r="G905" i="1"/>
  <c r="J905" i="1" s="1"/>
  <c r="F234" i="1"/>
  <c r="I234" i="1" s="1"/>
  <c r="H234" i="1"/>
  <c r="K234" i="1" s="1"/>
  <c r="G234" i="1"/>
  <c r="J234" i="1" s="1"/>
  <c r="F1599" i="1"/>
  <c r="I1599" i="1" s="1"/>
  <c r="H1599" i="1"/>
  <c r="K1599" i="1" s="1"/>
  <c r="G1599" i="1"/>
  <c r="J1599" i="1" s="1"/>
  <c r="F712" i="1"/>
  <c r="I712" i="1" s="1"/>
  <c r="H712" i="1"/>
  <c r="K712" i="1" s="1"/>
  <c r="G712" i="1"/>
  <c r="J712" i="1" s="1"/>
  <c r="F58" i="1"/>
  <c r="I58" i="1" s="1"/>
  <c r="H58" i="1"/>
  <c r="K58" i="1" s="1"/>
  <c r="G58" i="1"/>
  <c r="J58" i="1" s="1"/>
  <c r="F1381" i="1"/>
  <c r="I1381" i="1" s="1"/>
  <c r="H1381" i="1"/>
  <c r="K1381" i="1" s="1"/>
  <c r="G1381" i="1"/>
  <c r="J1381" i="1" s="1"/>
  <c r="F1254" i="1"/>
  <c r="I1254" i="1" s="1"/>
  <c r="H1254" i="1"/>
  <c r="K1254" i="1" s="1"/>
  <c r="G1254" i="1"/>
  <c r="J1254" i="1" s="1"/>
  <c r="F641" i="1"/>
  <c r="I641" i="1" s="1"/>
  <c r="H641" i="1"/>
  <c r="K641" i="1" s="1"/>
  <c r="G641" i="1"/>
  <c r="J641" i="1" s="1"/>
  <c r="F1360" i="1"/>
  <c r="I1360" i="1" s="1"/>
  <c r="H1360" i="1"/>
  <c r="K1360" i="1" s="1"/>
  <c r="G1360" i="1"/>
  <c r="J1360" i="1" s="1"/>
  <c r="F254" i="1"/>
  <c r="I254" i="1" s="1"/>
  <c r="H254" i="1"/>
  <c r="K254" i="1" s="1"/>
  <c r="G254" i="1"/>
  <c r="J254" i="1" s="1"/>
  <c r="F1524" i="1"/>
  <c r="I1524" i="1" s="1"/>
  <c r="H1524" i="1"/>
  <c r="K1524" i="1" s="1"/>
  <c r="G1524" i="1"/>
  <c r="J1524" i="1" s="1"/>
  <c r="F353" i="1"/>
  <c r="I353" i="1" s="1"/>
  <c r="H353" i="1"/>
  <c r="K353" i="1" s="1"/>
  <c r="G353" i="1"/>
  <c r="J353" i="1" s="1"/>
  <c r="F830" i="1"/>
  <c r="I830" i="1" s="1"/>
  <c r="H830" i="1"/>
  <c r="K830" i="1" s="1"/>
  <c r="G830" i="1"/>
  <c r="J830" i="1" s="1"/>
  <c r="F628" i="1"/>
  <c r="I628" i="1" s="1"/>
  <c r="H628" i="1"/>
  <c r="K628" i="1" s="1"/>
  <c r="G628" i="1"/>
  <c r="J628" i="1" s="1"/>
  <c r="F1574" i="1"/>
  <c r="I1574" i="1" s="1"/>
  <c r="H1574" i="1"/>
  <c r="K1574" i="1" s="1"/>
  <c r="G1574" i="1"/>
  <c r="J1574" i="1" s="1"/>
  <c r="F1056" i="1"/>
  <c r="I1056" i="1" s="1"/>
  <c r="H1056" i="1"/>
  <c r="K1056" i="1" s="1"/>
  <c r="G1056" i="1"/>
  <c r="J1056" i="1" s="1"/>
  <c r="F469" i="1"/>
  <c r="I469" i="1" s="1"/>
  <c r="H469" i="1"/>
  <c r="K469" i="1" s="1"/>
  <c r="G469" i="1"/>
  <c r="J469" i="1" s="1"/>
  <c r="F552" i="1"/>
  <c r="I552" i="1" s="1"/>
  <c r="H552" i="1"/>
  <c r="K552" i="1" s="1"/>
  <c r="G552" i="1"/>
  <c r="J552" i="1" s="1"/>
  <c r="F697" i="1"/>
  <c r="I697" i="1" s="1"/>
  <c r="H697" i="1"/>
  <c r="K697" i="1" s="1"/>
  <c r="G697" i="1"/>
  <c r="J697" i="1" s="1"/>
  <c r="F29" i="1"/>
  <c r="I29" i="1" s="1"/>
  <c r="H29" i="1"/>
  <c r="K29" i="1" s="1"/>
  <c r="G29" i="1"/>
  <c r="J29" i="1" s="1"/>
  <c r="F1512" i="1"/>
  <c r="I1512" i="1" s="1"/>
  <c r="H1512" i="1"/>
  <c r="K1512" i="1" s="1"/>
  <c r="G1512" i="1"/>
  <c r="J1512" i="1" s="1"/>
  <c r="F435" i="1"/>
  <c r="I435" i="1" s="1"/>
  <c r="H435" i="1"/>
  <c r="K435" i="1" s="1"/>
  <c r="G435" i="1"/>
  <c r="J435" i="1" s="1"/>
  <c r="F616" i="1"/>
  <c r="I616" i="1" s="1"/>
  <c r="H616" i="1"/>
  <c r="K616" i="1" s="1"/>
  <c r="G616" i="1"/>
  <c r="J616" i="1" s="1"/>
  <c r="F1527" i="1"/>
  <c r="I1527" i="1" s="1"/>
  <c r="H1527" i="1"/>
  <c r="K1527" i="1" s="1"/>
  <c r="G1527" i="1"/>
  <c r="J1527" i="1" s="1"/>
  <c r="F433" i="1"/>
  <c r="I433" i="1" s="1"/>
  <c r="H433" i="1"/>
  <c r="K433" i="1" s="1"/>
  <c r="G433" i="1"/>
  <c r="J433" i="1" s="1"/>
  <c r="F787" i="1"/>
  <c r="I787" i="1" s="1"/>
  <c r="H787" i="1"/>
  <c r="K787" i="1" s="1"/>
  <c r="G787" i="1"/>
  <c r="J787" i="1" s="1"/>
  <c r="F1265" i="1"/>
  <c r="I1265" i="1" s="1"/>
  <c r="H1265" i="1"/>
  <c r="K1265" i="1" s="1"/>
  <c r="G1265" i="1"/>
  <c r="J1265" i="1" s="1"/>
  <c r="F1197" i="1"/>
  <c r="I1197" i="1" s="1"/>
  <c r="H1197" i="1"/>
  <c r="K1197" i="1" s="1"/>
  <c r="G1197" i="1"/>
  <c r="J1197" i="1" s="1"/>
  <c r="F626" i="1"/>
  <c r="I626" i="1" s="1"/>
  <c r="H626" i="1"/>
  <c r="K626" i="1" s="1"/>
  <c r="G626" i="1"/>
  <c r="J626" i="1" s="1"/>
  <c r="F511" i="1"/>
  <c r="I511" i="1" s="1"/>
  <c r="H511" i="1"/>
  <c r="K511" i="1" s="1"/>
  <c r="G511" i="1"/>
  <c r="J511" i="1" s="1"/>
  <c r="F1267" i="1"/>
  <c r="I1267" i="1" s="1"/>
  <c r="H1267" i="1"/>
  <c r="K1267" i="1" s="1"/>
  <c r="G1267" i="1"/>
  <c r="J1267" i="1" s="1"/>
  <c r="F408" i="1"/>
  <c r="I408" i="1" s="1"/>
  <c r="H408" i="1"/>
  <c r="K408" i="1" s="1"/>
  <c r="G408" i="1"/>
  <c r="J408" i="1" s="1"/>
  <c r="F395" i="1"/>
  <c r="I395" i="1" s="1"/>
  <c r="H395" i="1"/>
  <c r="K395" i="1" s="1"/>
  <c r="G395" i="1"/>
  <c r="J395" i="1" s="1"/>
  <c r="F509" i="1"/>
  <c r="I509" i="1" s="1"/>
  <c r="H509" i="1"/>
  <c r="K509" i="1" s="1"/>
  <c r="G509" i="1"/>
  <c r="J509" i="1" s="1"/>
  <c r="F934" i="1"/>
  <c r="I934" i="1" s="1"/>
  <c r="H934" i="1"/>
  <c r="K934" i="1" s="1"/>
  <c r="G934" i="1"/>
  <c r="J934" i="1" s="1"/>
  <c r="F1080" i="1"/>
  <c r="I1080" i="1" s="1"/>
  <c r="H1080" i="1"/>
  <c r="K1080" i="1" s="1"/>
  <c r="G1080" i="1"/>
  <c r="J1080" i="1" s="1"/>
  <c r="F976" i="1"/>
  <c r="I976" i="1" s="1"/>
  <c r="H976" i="1"/>
  <c r="K976" i="1" s="1"/>
  <c r="G976" i="1"/>
  <c r="J976" i="1" s="1"/>
  <c r="F1318" i="1"/>
  <c r="I1318" i="1" s="1"/>
  <c r="H1318" i="1"/>
  <c r="K1318" i="1" s="1"/>
  <c r="G1318" i="1"/>
  <c r="J1318" i="1" s="1"/>
  <c r="F507" i="1"/>
  <c r="I507" i="1" s="1"/>
  <c r="H507" i="1"/>
  <c r="K507" i="1" s="1"/>
  <c r="G507" i="1"/>
  <c r="J507" i="1" s="1"/>
  <c r="F328" i="1"/>
  <c r="I328" i="1" s="1"/>
  <c r="H328" i="1"/>
  <c r="K328" i="1" s="1"/>
  <c r="G328" i="1"/>
  <c r="J328" i="1" s="1"/>
  <c r="F1168" i="1"/>
  <c r="I1168" i="1" s="1"/>
  <c r="H1168" i="1"/>
  <c r="K1168" i="1" s="1"/>
  <c r="G1168" i="1"/>
  <c r="J1168" i="1" s="1"/>
  <c r="F1583" i="1"/>
  <c r="I1583" i="1" s="1"/>
  <c r="H1583" i="1"/>
  <c r="K1583" i="1" s="1"/>
  <c r="G1583" i="1"/>
  <c r="J1583" i="1" s="1"/>
  <c r="F1181" i="1"/>
  <c r="I1181" i="1" s="1"/>
  <c r="G1181" i="1"/>
  <c r="J1181" i="1" s="1"/>
  <c r="H1181" i="1"/>
  <c r="K1181" i="1" s="1"/>
  <c r="F186" i="1"/>
  <c r="I186" i="1" s="1"/>
  <c r="G186" i="1"/>
  <c r="J186" i="1" s="1"/>
  <c r="H186" i="1"/>
  <c r="K186" i="1" s="1"/>
  <c r="F1453" i="1"/>
  <c r="I1453" i="1" s="1"/>
  <c r="H1453" i="1"/>
  <c r="K1453" i="1" s="1"/>
  <c r="G1453" i="1"/>
  <c r="J1453" i="1" s="1"/>
  <c r="F861" i="1"/>
  <c r="I861" i="1" s="1"/>
  <c r="H861" i="1"/>
  <c r="K861" i="1" s="1"/>
  <c r="G861" i="1"/>
  <c r="J861" i="1" s="1"/>
  <c r="F47" i="1"/>
  <c r="I47" i="1" s="1"/>
  <c r="H47" i="1"/>
  <c r="K47" i="1" s="1"/>
  <c r="G47" i="1"/>
  <c r="J47" i="1" s="1"/>
  <c r="F1517" i="1"/>
  <c r="I1517" i="1" s="1"/>
  <c r="H1517" i="1"/>
  <c r="K1517" i="1" s="1"/>
  <c r="G1517" i="1"/>
  <c r="J1517" i="1" s="1"/>
  <c r="F989" i="1"/>
  <c r="I989" i="1" s="1"/>
  <c r="H989" i="1"/>
  <c r="K989" i="1" s="1"/>
  <c r="G989" i="1"/>
  <c r="J989" i="1" s="1"/>
  <c r="F1194" i="1"/>
  <c r="I1194" i="1" s="1"/>
  <c r="H1194" i="1"/>
  <c r="K1194" i="1" s="1"/>
  <c r="G1194" i="1"/>
  <c r="J1194" i="1" s="1"/>
  <c r="F643" i="1"/>
  <c r="I643" i="1" s="1"/>
  <c r="H643" i="1"/>
  <c r="K643" i="1" s="1"/>
  <c r="G643" i="1"/>
  <c r="J643" i="1" s="1"/>
  <c r="F1339" i="1"/>
  <c r="I1339" i="1" s="1"/>
  <c r="H1339" i="1"/>
  <c r="K1339" i="1" s="1"/>
  <c r="G1339" i="1"/>
  <c r="J1339" i="1" s="1"/>
  <c r="F1202" i="1"/>
  <c r="I1202" i="1" s="1"/>
  <c r="G1202" i="1"/>
  <c r="J1202" i="1" s="1"/>
  <c r="H1202" i="1"/>
  <c r="K1202" i="1" s="1"/>
  <c r="F349" i="1"/>
  <c r="I349" i="1" s="1"/>
  <c r="H349" i="1"/>
  <c r="K349" i="1" s="1"/>
  <c r="G349" i="1"/>
  <c r="J349" i="1" s="1"/>
  <c r="F990" i="1"/>
  <c r="I990" i="1" s="1"/>
  <c r="H990" i="1"/>
  <c r="K990" i="1" s="1"/>
  <c r="G990" i="1"/>
  <c r="J990" i="1" s="1"/>
  <c r="F264" i="1"/>
  <c r="I264" i="1" s="1"/>
  <c r="G264" i="1"/>
  <c r="J264" i="1" s="1"/>
  <c r="H264" i="1"/>
  <c r="K264" i="1" s="1"/>
  <c r="F1483" i="1"/>
  <c r="I1483" i="1" s="1"/>
  <c r="H1483" i="1"/>
  <c r="K1483" i="1" s="1"/>
  <c r="G1483" i="1"/>
  <c r="J1483" i="1" s="1"/>
  <c r="F1150" i="1"/>
  <c r="I1150" i="1" s="1"/>
  <c r="H1150" i="1"/>
  <c r="K1150" i="1" s="1"/>
  <c r="G1150" i="1"/>
  <c r="J1150" i="1" s="1"/>
  <c r="F48" i="1"/>
  <c r="I48" i="1" s="1"/>
  <c r="H48" i="1"/>
  <c r="K48" i="1" s="1"/>
  <c r="G48" i="1"/>
  <c r="J48" i="1" s="1"/>
  <c r="F57" i="1"/>
  <c r="I57" i="1" s="1"/>
  <c r="H57" i="1"/>
  <c r="K57" i="1" s="1"/>
  <c r="G57" i="1"/>
  <c r="J57" i="1" s="1"/>
  <c r="F1018" i="1"/>
  <c r="I1018" i="1" s="1"/>
  <c r="H1018" i="1"/>
  <c r="K1018" i="1" s="1"/>
  <c r="G1018" i="1"/>
  <c r="J1018" i="1" s="1"/>
  <c r="F1576" i="1"/>
  <c r="I1576" i="1" s="1"/>
  <c r="H1576" i="1"/>
  <c r="K1576" i="1" s="1"/>
  <c r="G1576" i="1"/>
  <c r="J1576" i="1" s="1"/>
  <c r="F706" i="1"/>
  <c r="I706" i="1" s="1"/>
  <c r="H706" i="1"/>
  <c r="K706" i="1" s="1"/>
  <c r="G706" i="1"/>
  <c r="J706" i="1" s="1"/>
  <c r="F1288" i="1"/>
  <c r="I1288" i="1" s="1"/>
  <c r="H1288" i="1"/>
  <c r="K1288" i="1" s="1"/>
  <c r="G1288" i="1"/>
  <c r="J1288" i="1" s="1"/>
  <c r="F1388" i="1"/>
  <c r="I1388" i="1" s="1"/>
  <c r="H1388" i="1"/>
  <c r="K1388" i="1" s="1"/>
  <c r="G1388" i="1"/>
  <c r="J1388" i="1" s="1"/>
  <c r="F1280" i="1"/>
  <c r="I1280" i="1" s="1"/>
  <c r="H1280" i="1"/>
  <c r="K1280" i="1" s="1"/>
  <c r="G1280" i="1"/>
  <c r="J1280" i="1" s="1"/>
  <c r="F1523" i="1"/>
  <c r="I1523" i="1" s="1"/>
  <c r="H1523" i="1"/>
  <c r="K1523" i="1" s="1"/>
  <c r="G1523" i="1"/>
  <c r="J1523" i="1" s="1"/>
  <c r="F741" i="1"/>
  <c r="I741" i="1" s="1"/>
  <c r="H741" i="1"/>
  <c r="K741" i="1" s="1"/>
  <c r="G741" i="1"/>
  <c r="J741" i="1" s="1"/>
  <c r="F1414" i="1"/>
  <c r="I1414" i="1" s="1"/>
  <c r="H1414" i="1"/>
  <c r="K1414" i="1" s="1"/>
  <c r="G1414" i="1"/>
  <c r="J1414" i="1" s="1"/>
  <c r="F1540" i="1"/>
  <c r="I1540" i="1" s="1"/>
  <c r="H1540" i="1"/>
  <c r="K1540" i="1" s="1"/>
  <c r="G1540" i="1"/>
  <c r="J1540" i="1" s="1"/>
  <c r="F339" i="1"/>
  <c r="I339" i="1" s="1"/>
  <c r="H339" i="1"/>
  <c r="K339" i="1" s="1"/>
  <c r="G339" i="1"/>
  <c r="J339" i="1" s="1"/>
  <c r="F111" i="1"/>
  <c r="I111" i="1" s="1"/>
  <c r="H111" i="1"/>
  <c r="K111" i="1" s="1"/>
  <c r="G111" i="1"/>
  <c r="J111" i="1" s="1"/>
  <c r="F1564" i="1"/>
  <c r="I1564" i="1" s="1"/>
  <c r="H1564" i="1"/>
  <c r="K1564" i="1" s="1"/>
  <c r="G1564" i="1"/>
  <c r="J1564" i="1" s="1"/>
  <c r="F1511" i="1"/>
  <c r="I1511" i="1" s="1"/>
  <c r="H1511" i="1"/>
  <c r="K1511" i="1" s="1"/>
  <c r="G1511" i="1"/>
  <c r="J1511" i="1" s="1"/>
  <c r="F1300" i="1"/>
  <c r="I1300" i="1" s="1"/>
  <c r="H1300" i="1"/>
  <c r="K1300" i="1" s="1"/>
  <c r="G1300" i="1"/>
  <c r="J1300" i="1" s="1"/>
  <c r="F644" i="1"/>
  <c r="I644" i="1" s="1"/>
  <c r="H644" i="1"/>
  <c r="K644" i="1" s="1"/>
  <c r="G644" i="1"/>
  <c r="J644" i="1" s="1"/>
  <c r="F1244" i="1"/>
  <c r="I1244" i="1" s="1"/>
  <c r="H1244" i="1"/>
  <c r="K1244" i="1" s="1"/>
  <c r="G1244" i="1"/>
  <c r="J1244" i="1" s="1"/>
  <c r="F1411" i="1"/>
  <c r="I1411" i="1" s="1"/>
  <c r="H1411" i="1"/>
  <c r="K1411" i="1" s="1"/>
  <c r="G1411" i="1"/>
  <c r="J1411" i="1" s="1"/>
  <c r="F1260" i="1"/>
  <c r="I1260" i="1" s="1"/>
  <c r="H1260" i="1"/>
  <c r="K1260" i="1" s="1"/>
  <c r="G1260" i="1"/>
  <c r="J1260" i="1" s="1"/>
  <c r="F208" i="1"/>
  <c r="I208" i="1" s="1"/>
  <c r="H208" i="1"/>
  <c r="K208" i="1" s="1"/>
  <c r="G208" i="1"/>
  <c r="J208" i="1" s="1"/>
  <c r="F462" i="1"/>
  <c r="I462" i="1" s="1"/>
  <c r="H462" i="1"/>
  <c r="K462" i="1" s="1"/>
  <c r="G462" i="1"/>
  <c r="J462" i="1" s="1"/>
  <c r="F266" i="1"/>
  <c r="I266" i="1" s="1"/>
  <c r="H266" i="1"/>
  <c r="K266" i="1" s="1"/>
  <c r="G266" i="1"/>
  <c r="J266" i="1" s="1"/>
  <c r="F546" i="1"/>
  <c r="I546" i="1" s="1"/>
  <c r="H546" i="1"/>
  <c r="K546" i="1" s="1"/>
  <c r="G546" i="1"/>
  <c r="J546" i="1" s="1"/>
  <c r="F386" i="1"/>
  <c r="I386" i="1" s="1"/>
  <c r="H386" i="1"/>
  <c r="K386" i="1" s="1"/>
  <c r="G386" i="1"/>
  <c r="J386" i="1" s="1"/>
  <c r="F358" i="1"/>
  <c r="I358" i="1" s="1"/>
  <c r="H358" i="1"/>
  <c r="K358" i="1" s="1"/>
  <c r="G358" i="1"/>
  <c r="J358" i="1" s="1"/>
  <c r="F1550" i="1"/>
  <c r="I1550" i="1" s="1"/>
  <c r="H1550" i="1"/>
  <c r="K1550" i="1" s="1"/>
  <c r="G1550" i="1"/>
  <c r="J1550" i="1" s="1"/>
  <c r="F711" i="1"/>
  <c r="I711" i="1" s="1"/>
  <c r="H711" i="1"/>
  <c r="K711" i="1" s="1"/>
  <c r="G711" i="1"/>
  <c r="J711" i="1" s="1"/>
  <c r="F1484" i="1"/>
  <c r="I1484" i="1" s="1"/>
  <c r="H1484" i="1"/>
  <c r="K1484" i="1" s="1"/>
  <c r="G1484" i="1"/>
  <c r="J1484" i="1" s="1"/>
  <c r="F547" i="1"/>
  <c r="I547" i="1" s="1"/>
  <c r="G547" i="1"/>
  <c r="J547" i="1" s="1"/>
  <c r="H547" i="1"/>
  <c r="K547" i="1" s="1"/>
  <c r="F1582" i="1"/>
  <c r="I1582" i="1" s="1"/>
  <c r="H1582" i="1"/>
  <c r="K1582" i="1" s="1"/>
  <c r="G1582" i="1"/>
  <c r="J1582" i="1" s="1"/>
  <c r="F582" i="1"/>
  <c r="I582" i="1" s="1"/>
  <c r="H582" i="1"/>
  <c r="K582" i="1" s="1"/>
  <c r="G582" i="1"/>
  <c r="J582" i="1" s="1"/>
  <c r="F795" i="1"/>
  <c r="I795" i="1" s="1"/>
  <c r="H795" i="1"/>
  <c r="K795" i="1" s="1"/>
  <c r="G795" i="1"/>
  <c r="J795" i="1" s="1"/>
  <c r="F110" i="1"/>
  <c r="I110" i="1" s="1"/>
  <c r="G110" i="1"/>
  <c r="J110" i="1" s="1"/>
  <c r="H110" i="1"/>
  <c r="K110" i="1" s="1"/>
  <c r="F1440" i="1"/>
  <c r="I1440" i="1" s="1"/>
  <c r="G1440" i="1"/>
  <c r="J1440" i="1" s="1"/>
  <c r="H1440" i="1"/>
  <c r="K1440" i="1" s="1"/>
  <c r="F1269" i="1"/>
  <c r="I1269" i="1" s="1"/>
  <c r="H1269" i="1"/>
  <c r="K1269" i="1" s="1"/>
  <c r="G1269" i="1"/>
  <c r="J1269" i="1" s="1"/>
  <c r="F394" i="1"/>
  <c r="I394" i="1" s="1"/>
  <c r="H394" i="1"/>
  <c r="K394" i="1" s="1"/>
  <c r="G394" i="1"/>
  <c r="J394" i="1" s="1"/>
  <c r="F458" i="1"/>
  <c r="I458" i="1" s="1"/>
  <c r="H458" i="1"/>
  <c r="K458" i="1" s="1"/>
  <c r="G458" i="1"/>
  <c r="J458" i="1" s="1"/>
  <c r="F527" i="1"/>
  <c r="I527" i="1" s="1"/>
  <c r="G527" i="1"/>
  <c r="J527" i="1" s="1"/>
  <c r="H527" i="1"/>
  <c r="K527" i="1" s="1"/>
  <c r="F794" i="1"/>
  <c r="I794" i="1" s="1"/>
  <c r="H794" i="1"/>
  <c r="K794" i="1" s="1"/>
  <c r="G794" i="1"/>
  <c r="J794" i="1" s="1"/>
  <c r="F83" i="1"/>
  <c r="I83" i="1" s="1"/>
  <c r="H83" i="1"/>
  <c r="K83" i="1" s="1"/>
  <c r="G83" i="1"/>
  <c r="J83" i="1" s="1"/>
  <c r="F1004" i="1"/>
  <c r="I1004" i="1" s="1"/>
  <c r="H1004" i="1"/>
  <c r="K1004" i="1" s="1"/>
  <c r="G1004" i="1"/>
  <c r="J1004" i="1" s="1"/>
  <c r="F100" i="1"/>
  <c r="I100" i="1" s="1"/>
  <c r="H100" i="1"/>
  <c r="K100" i="1" s="1"/>
  <c r="G100" i="1"/>
  <c r="J100" i="1" s="1"/>
  <c r="F811" i="1"/>
  <c r="I811" i="1" s="1"/>
  <c r="H811" i="1"/>
  <c r="K811" i="1" s="1"/>
  <c r="G811" i="1"/>
  <c r="J811" i="1" s="1"/>
  <c r="F1253" i="1"/>
  <c r="I1253" i="1" s="1"/>
  <c r="H1253" i="1"/>
  <c r="K1253" i="1" s="1"/>
  <c r="G1253" i="1"/>
  <c r="J1253" i="1" s="1"/>
  <c r="F1588" i="1"/>
  <c r="I1588" i="1" s="1"/>
  <c r="H1588" i="1"/>
  <c r="K1588" i="1" s="1"/>
  <c r="G1588" i="1"/>
  <c r="J1588" i="1" s="1"/>
  <c r="F1153" i="1"/>
  <c r="I1153" i="1" s="1"/>
  <c r="H1153" i="1"/>
  <c r="K1153" i="1" s="1"/>
  <c r="G1153" i="1"/>
  <c r="J1153" i="1" s="1"/>
  <c r="F901" i="1"/>
  <c r="I901" i="1" s="1"/>
  <c r="H901" i="1"/>
  <c r="K901" i="1" s="1"/>
  <c r="G901" i="1"/>
  <c r="J901" i="1" s="1"/>
  <c r="F809" i="1"/>
  <c r="I809" i="1" s="1"/>
  <c r="H809" i="1"/>
  <c r="K809" i="1" s="1"/>
  <c r="G809" i="1"/>
  <c r="J809" i="1" s="1"/>
  <c r="F1376" i="1"/>
  <c r="I1376" i="1" s="1"/>
  <c r="H1376" i="1"/>
  <c r="K1376" i="1" s="1"/>
  <c r="G1376" i="1"/>
  <c r="J1376" i="1" s="1"/>
  <c r="F854" i="1"/>
  <c r="I854" i="1" s="1"/>
  <c r="H854" i="1"/>
  <c r="K854" i="1" s="1"/>
  <c r="G854" i="1"/>
  <c r="J854" i="1" s="1"/>
  <c r="F246" i="1"/>
  <c r="I246" i="1" s="1"/>
  <c r="H246" i="1"/>
  <c r="K246" i="1" s="1"/>
  <c r="G246" i="1"/>
  <c r="J246" i="1" s="1"/>
  <c r="F233" i="1"/>
  <c r="I233" i="1" s="1"/>
  <c r="H233" i="1"/>
  <c r="K233" i="1" s="1"/>
  <c r="G233" i="1"/>
  <c r="J233" i="1" s="1"/>
  <c r="F1063" i="1"/>
  <c r="I1063" i="1" s="1"/>
  <c r="H1063" i="1"/>
  <c r="K1063" i="1" s="1"/>
  <c r="G1063" i="1"/>
  <c r="J1063" i="1" s="1"/>
  <c r="F1556" i="1"/>
  <c r="I1556" i="1" s="1"/>
  <c r="H1556" i="1"/>
  <c r="K1556" i="1" s="1"/>
  <c r="G1556" i="1"/>
  <c r="J1556" i="1" s="1"/>
  <c r="F1048" i="1"/>
  <c r="I1048" i="1" s="1"/>
  <c r="H1048" i="1"/>
  <c r="K1048" i="1" s="1"/>
  <c r="G1048" i="1"/>
  <c r="J1048" i="1" s="1"/>
  <c r="F1273" i="1"/>
  <c r="I1273" i="1" s="1"/>
  <c r="H1273" i="1"/>
  <c r="K1273" i="1" s="1"/>
  <c r="G1273" i="1"/>
  <c r="J1273" i="1" s="1"/>
  <c r="F444" i="1"/>
  <c r="I444" i="1" s="1"/>
  <c r="H444" i="1"/>
  <c r="K444" i="1" s="1"/>
  <c r="G444" i="1"/>
  <c r="J444" i="1" s="1"/>
  <c r="F168" i="1"/>
  <c r="I168" i="1" s="1"/>
  <c r="H168" i="1"/>
  <c r="K168" i="1" s="1"/>
  <c r="G168" i="1"/>
  <c r="J168" i="1" s="1"/>
  <c r="F72" i="1"/>
  <c r="I72" i="1" s="1"/>
  <c r="H72" i="1"/>
  <c r="K72" i="1" s="1"/>
  <c r="G72" i="1"/>
  <c r="J72" i="1" s="1"/>
  <c r="F55" i="1"/>
  <c r="I55" i="1" s="1"/>
  <c r="H55" i="1"/>
  <c r="K55" i="1" s="1"/>
  <c r="G55" i="1"/>
  <c r="J55" i="1" s="1"/>
  <c r="F25" i="1"/>
  <c r="I25" i="1" s="1"/>
  <c r="G25" i="1"/>
  <c r="J25" i="1" s="1"/>
  <c r="H25" i="1"/>
  <c r="K25" i="1" s="1"/>
  <c r="F760" i="1"/>
  <c r="I760" i="1" s="1"/>
  <c r="H760" i="1"/>
  <c r="K760" i="1" s="1"/>
  <c r="G760" i="1"/>
  <c r="J760" i="1" s="1"/>
  <c r="F502" i="1"/>
  <c r="I502" i="1" s="1"/>
  <c r="H502" i="1"/>
  <c r="K502" i="1" s="1"/>
  <c r="G502" i="1"/>
  <c r="J502" i="1" s="1"/>
  <c r="F268" i="1"/>
  <c r="I268" i="1" s="1"/>
  <c r="H268" i="1"/>
  <c r="K268" i="1" s="1"/>
  <c r="G268" i="1"/>
  <c r="J268" i="1" s="1"/>
  <c r="F235" i="1"/>
  <c r="I235" i="1" s="1"/>
  <c r="H235" i="1"/>
  <c r="K235" i="1" s="1"/>
  <c r="G235" i="1"/>
  <c r="J235" i="1" s="1"/>
  <c r="F214" i="1"/>
  <c r="I214" i="1" s="1"/>
  <c r="H214" i="1"/>
  <c r="K214" i="1" s="1"/>
  <c r="G214" i="1"/>
  <c r="J214" i="1" s="1"/>
  <c r="F1441" i="1"/>
  <c r="I1441" i="1" s="1"/>
  <c r="H1441" i="1"/>
  <c r="K1441" i="1" s="1"/>
  <c r="G1441" i="1"/>
  <c r="J1441" i="1" s="1"/>
  <c r="F1138" i="1"/>
  <c r="I1138" i="1" s="1"/>
  <c r="H1138" i="1"/>
  <c r="K1138" i="1" s="1"/>
  <c r="G1138" i="1"/>
  <c r="J1138" i="1" s="1"/>
  <c r="F637" i="1"/>
  <c r="I637" i="1" s="1"/>
  <c r="G637" i="1"/>
  <c r="J637" i="1" s="1"/>
  <c r="H637" i="1"/>
  <c r="K637" i="1" s="1"/>
  <c r="F728" i="1"/>
  <c r="I728" i="1" s="1"/>
  <c r="H728" i="1"/>
  <c r="K728" i="1" s="1"/>
  <c r="G728" i="1"/>
  <c r="J728" i="1" s="1"/>
  <c r="F5" i="1"/>
  <c r="I5" i="1" s="1"/>
  <c r="H5" i="1"/>
  <c r="K5" i="1" s="1"/>
  <c r="G5" i="1"/>
  <c r="J5" i="1" s="1"/>
  <c r="F319" i="1"/>
  <c r="I319" i="1" s="1"/>
  <c r="H319" i="1"/>
  <c r="K319" i="1" s="1"/>
  <c r="G319" i="1"/>
  <c r="J319" i="1" s="1"/>
  <c r="F510" i="1"/>
  <c r="I510" i="1" s="1"/>
  <c r="H510" i="1"/>
  <c r="K510" i="1" s="1"/>
  <c r="G510" i="1"/>
  <c r="J510" i="1" s="1"/>
  <c r="F1585" i="1"/>
  <c r="I1585" i="1" s="1"/>
  <c r="H1585" i="1"/>
  <c r="K1585" i="1" s="1"/>
  <c r="G1585" i="1"/>
  <c r="J1585" i="1" s="1"/>
  <c r="F1295" i="1"/>
  <c r="I1295" i="1" s="1"/>
  <c r="H1295" i="1"/>
  <c r="K1295" i="1" s="1"/>
  <c r="G1295" i="1"/>
  <c r="J1295" i="1" s="1"/>
  <c r="F145" i="1"/>
  <c r="I145" i="1" s="1"/>
  <c r="H145" i="1"/>
  <c r="K145" i="1" s="1"/>
  <c r="G145" i="1"/>
  <c r="J145" i="1" s="1"/>
  <c r="F872" i="1"/>
  <c r="I872" i="1" s="1"/>
  <c r="H872" i="1"/>
  <c r="K872" i="1" s="1"/>
  <c r="G872" i="1"/>
  <c r="J872" i="1" s="1"/>
  <c r="F149" i="1"/>
  <c r="I149" i="1" s="1"/>
  <c r="H149" i="1"/>
  <c r="K149" i="1" s="1"/>
  <c r="G149" i="1"/>
  <c r="J149" i="1" s="1"/>
  <c r="F451" i="1"/>
  <c r="I451" i="1" s="1"/>
  <c r="H451" i="1"/>
  <c r="K451" i="1" s="1"/>
  <c r="G451" i="1"/>
  <c r="J451" i="1" s="1"/>
  <c r="F735" i="1"/>
  <c r="I735" i="1" s="1"/>
  <c r="H735" i="1"/>
  <c r="K735" i="1" s="1"/>
  <c r="G735" i="1"/>
  <c r="J735" i="1" s="1"/>
  <c r="F261" i="1"/>
  <c r="I261" i="1" s="1"/>
  <c r="H261" i="1"/>
  <c r="K261" i="1" s="1"/>
  <c r="G261" i="1"/>
  <c r="J261" i="1" s="1"/>
  <c r="F1451" i="1"/>
  <c r="I1451" i="1" s="1"/>
  <c r="H1451" i="1"/>
  <c r="K1451" i="1" s="1"/>
  <c r="G1451" i="1"/>
  <c r="J1451" i="1" s="1"/>
  <c r="F393" i="1"/>
  <c r="I393" i="1" s="1"/>
  <c r="H393" i="1"/>
  <c r="K393" i="1" s="1"/>
  <c r="G393" i="1"/>
  <c r="J393" i="1" s="1"/>
  <c r="F1016" i="1"/>
  <c r="I1016" i="1" s="1"/>
  <c r="H1016" i="1"/>
  <c r="K1016" i="1" s="1"/>
  <c r="G1016" i="1"/>
  <c r="J1016" i="1" s="1"/>
  <c r="F293" i="1"/>
  <c r="I293" i="1" s="1"/>
  <c r="H293" i="1"/>
  <c r="K293" i="1" s="1"/>
  <c r="G293" i="1"/>
  <c r="J293" i="1" s="1"/>
  <c r="F583" i="1"/>
  <c r="I583" i="1" s="1"/>
  <c r="H583" i="1"/>
  <c r="K583" i="1" s="1"/>
  <c r="G583" i="1"/>
  <c r="J583" i="1" s="1"/>
  <c r="F925" i="1"/>
  <c r="I925" i="1" s="1"/>
  <c r="G925" i="1"/>
  <c r="J925" i="1" s="1"/>
  <c r="H925" i="1"/>
  <c r="K925" i="1" s="1"/>
  <c r="F554" i="1"/>
  <c r="I554" i="1" s="1"/>
  <c r="G554" i="1"/>
  <c r="J554" i="1" s="1"/>
  <c r="H554" i="1"/>
  <c r="K554" i="1" s="1"/>
  <c r="F64" i="1"/>
  <c r="I64" i="1" s="1"/>
  <c r="H64" i="1"/>
  <c r="K64" i="1" s="1"/>
  <c r="G64" i="1"/>
  <c r="J64" i="1" s="1"/>
  <c r="F622" i="1"/>
  <c r="I622" i="1" s="1"/>
  <c r="H622" i="1"/>
  <c r="K622" i="1" s="1"/>
  <c r="G622" i="1"/>
  <c r="J622" i="1" s="1"/>
  <c r="F1148" i="1"/>
  <c r="I1148" i="1" s="1"/>
  <c r="H1148" i="1"/>
  <c r="K1148" i="1" s="1"/>
  <c r="G1148" i="1"/>
  <c r="J1148" i="1" s="1"/>
  <c r="F437" i="1"/>
  <c r="I437" i="1" s="1"/>
  <c r="H437" i="1"/>
  <c r="K437" i="1" s="1"/>
  <c r="G437" i="1"/>
  <c r="J437" i="1" s="1"/>
  <c r="F715" i="1"/>
  <c r="I715" i="1" s="1"/>
  <c r="H715" i="1"/>
  <c r="K715" i="1" s="1"/>
  <c r="G715" i="1"/>
  <c r="J715" i="1" s="1"/>
  <c r="F890" i="1"/>
  <c r="I890" i="1" s="1"/>
  <c r="G890" i="1"/>
  <c r="J890" i="1" s="1"/>
  <c r="H890" i="1"/>
  <c r="K890" i="1" s="1"/>
  <c r="F691" i="1"/>
  <c r="I691" i="1" s="1"/>
  <c r="G691" i="1"/>
  <c r="J691" i="1" s="1"/>
  <c r="H691" i="1"/>
  <c r="K691" i="1" s="1"/>
  <c r="F1390" i="1"/>
  <c r="I1390" i="1" s="1"/>
  <c r="H1390" i="1"/>
  <c r="K1390" i="1" s="1"/>
  <c r="G1390" i="1"/>
  <c r="J1390" i="1" s="1"/>
  <c r="F303" i="1"/>
  <c r="I303" i="1" s="1"/>
  <c r="H303" i="1"/>
  <c r="K303" i="1" s="1"/>
  <c r="G303" i="1"/>
  <c r="J303" i="1" s="1"/>
  <c r="F366" i="1"/>
  <c r="I366" i="1" s="1"/>
  <c r="H366" i="1"/>
  <c r="K366" i="1" s="1"/>
  <c r="G366" i="1"/>
  <c r="J366" i="1" s="1"/>
  <c r="F1206" i="1"/>
  <c r="I1206" i="1" s="1"/>
  <c r="H1206" i="1"/>
  <c r="K1206" i="1" s="1"/>
  <c r="G1206" i="1"/>
  <c r="J1206" i="1" s="1"/>
  <c r="F22" i="1"/>
  <c r="I22" i="1" s="1"/>
  <c r="H22" i="1"/>
  <c r="K22" i="1" s="1"/>
  <c r="G22" i="1"/>
  <c r="J22" i="1" s="1"/>
  <c r="F173" i="1"/>
  <c r="I173" i="1" s="1"/>
  <c r="H173" i="1"/>
  <c r="K173" i="1" s="1"/>
  <c r="G173" i="1"/>
  <c r="J173" i="1" s="1"/>
  <c r="F640" i="1"/>
  <c r="I640" i="1" s="1"/>
  <c r="H640" i="1"/>
  <c r="K640" i="1" s="1"/>
  <c r="G640" i="1"/>
  <c r="J640" i="1" s="1"/>
  <c r="F1350" i="1"/>
  <c r="I1350" i="1" s="1"/>
  <c r="H1350" i="1"/>
  <c r="K1350" i="1" s="1"/>
  <c r="G1350" i="1"/>
  <c r="J1350" i="1" s="1"/>
  <c r="F504" i="1"/>
  <c r="I504" i="1" s="1"/>
  <c r="H504" i="1"/>
  <c r="K504" i="1" s="1"/>
  <c r="G504" i="1"/>
  <c r="J504" i="1" s="1"/>
  <c r="F1118" i="1"/>
  <c r="I1118" i="1" s="1"/>
  <c r="H1118" i="1"/>
  <c r="K1118" i="1" s="1"/>
  <c r="G1118" i="1"/>
  <c r="J1118" i="1" s="1"/>
  <c r="F656" i="1"/>
  <c r="I656" i="1" s="1"/>
  <c r="H656" i="1"/>
  <c r="K656" i="1" s="1"/>
  <c r="G656" i="1"/>
  <c r="J656" i="1" s="1"/>
  <c r="F310" i="1"/>
  <c r="I310" i="1" s="1"/>
  <c r="H310" i="1"/>
  <c r="K310" i="1" s="1"/>
  <c r="G310" i="1"/>
  <c r="J310" i="1" s="1"/>
  <c r="F605" i="1"/>
  <c r="I605" i="1" s="1"/>
  <c r="H605" i="1"/>
  <c r="K605" i="1" s="1"/>
  <c r="G605" i="1"/>
  <c r="J605" i="1" s="1"/>
  <c r="F1445" i="1"/>
  <c r="I1445" i="1" s="1"/>
  <c r="G1445" i="1"/>
  <c r="J1445" i="1" s="1"/>
  <c r="H1445" i="1"/>
  <c r="K1445" i="1" s="1"/>
  <c r="F1178" i="1"/>
  <c r="I1178" i="1" s="1"/>
  <c r="H1178" i="1"/>
  <c r="K1178" i="1" s="1"/>
  <c r="G1178" i="1"/>
  <c r="J1178" i="1" s="1"/>
  <c r="F1276" i="1"/>
  <c r="I1276" i="1" s="1"/>
  <c r="H1276" i="1"/>
  <c r="K1276" i="1" s="1"/>
  <c r="G1276" i="1"/>
  <c r="J1276" i="1" s="1"/>
  <c r="F951" i="1"/>
  <c r="I951" i="1" s="1"/>
  <c r="H951" i="1"/>
  <c r="K951" i="1" s="1"/>
  <c r="G951" i="1"/>
  <c r="J951" i="1" s="1"/>
  <c r="F630" i="1"/>
  <c r="I630" i="1" s="1"/>
  <c r="H630" i="1"/>
  <c r="K630" i="1" s="1"/>
  <c r="G630" i="1"/>
  <c r="J630" i="1" s="1"/>
  <c r="F843" i="1"/>
  <c r="I843" i="1" s="1"/>
  <c r="H843" i="1"/>
  <c r="K843" i="1" s="1"/>
  <c r="G843" i="1"/>
  <c r="J843" i="1" s="1"/>
  <c r="F612" i="1"/>
  <c r="I612" i="1" s="1"/>
  <c r="H612" i="1"/>
  <c r="K612" i="1" s="1"/>
  <c r="G612" i="1"/>
  <c r="J612" i="1" s="1"/>
  <c r="F769" i="1"/>
  <c r="I769" i="1" s="1"/>
  <c r="H769" i="1"/>
  <c r="K769" i="1" s="1"/>
  <c r="G769" i="1"/>
  <c r="J769" i="1" s="1"/>
  <c r="F777" i="1"/>
  <c r="I777" i="1" s="1"/>
  <c r="H777" i="1"/>
  <c r="K777" i="1" s="1"/>
  <c r="G777" i="1"/>
  <c r="J777" i="1" s="1"/>
  <c r="F1026" i="1"/>
  <c r="I1026" i="1" s="1"/>
  <c r="H1026" i="1"/>
  <c r="K1026" i="1" s="1"/>
  <c r="G1026" i="1"/>
  <c r="J1026" i="1" s="1"/>
  <c r="F1349" i="1"/>
  <c r="I1349" i="1" s="1"/>
  <c r="H1349" i="1"/>
  <c r="K1349" i="1" s="1"/>
  <c r="G1349" i="1"/>
  <c r="J1349" i="1" s="1"/>
  <c r="F1455" i="1"/>
  <c r="I1455" i="1" s="1"/>
  <c r="H1455" i="1"/>
  <c r="K1455" i="1" s="1"/>
  <c r="G1455" i="1"/>
  <c r="J1455" i="1" s="1"/>
  <c r="F938" i="1"/>
  <c r="I938" i="1" s="1"/>
  <c r="H938" i="1"/>
  <c r="K938" i="1" s="1"/>
  <c r="G938" i="1"/>
  <c r="J938" i="1" s="1"/>
  <c r="F422" i="1"/>
  <c r="I422" i="1" s="1"/>
  <c r="H422" i="1"/>
  <c r="K422" i="1" s="1"/>
  <c r="G422" i="1"/>
  <c r="J422" i="1" s="1"/>
  <c r="F78" i="1"/>
  <c r="I78" i="1" s="1"/>
  <c r="H78" i="1"/>
  <c r="K78" i="1" s="1"/>
  <c r="G78" i="1"/>
  <c r="J78" i="1" s="1"/>
  <c r="F1409" i="1"/>
  <c r="I1409" i="1" s="1"/>
  <c r="H1409" i="1"/>
  <c r="K1409" i="1" s="1"/>
  <c r="G1409" i="1"/>
  <c r="J1409" i="1" s="1"/>
  <c r="F452" i="1"/>
  <c r="I452" i="1" s="1"/>
  <c r="H452" i="1"/>
  <c r="K452" i="1" s="1"/>
  <c r="G452" i="1"/>
  <c r="J452" i="1" s="1"/>
  <c r="F1157" i="1"/>
  <c r="I1157" i="1" s="1"/>
  <c r="H1157" i="1"/>
  <c r="K1157" i="1" s="1"/>
  <c r="G1157" i="1"/>
  <c r="J1157" i="1" s="1"/>
  <c r="F455" i="1"/>
  <c r="I455" i="1" s="1"/>
  <c r="H455" i="1"/>
  <c r="K455" i="1" s="1"/>
  <c r="G455" i="1"/>
  <c r="J455" i="1" s="1"/>
  <c r="F322" i="1"/>
  <c r="I322" i="1" s="1"/>
  <c r="H322" i="1"/>
  <c r="K322" i="1" s="1"/>
  <c r="G322" i="1"/>
  <c r="J322" i="1" s="1"/>
  <c r="F963" i="1"/>
  <c r="I963" i="1" s="1"/>
  <c r="H963" i="1"/>
  <c r="K963" i="1" s="1"/>
  <c r="G963" i="1"/>
  <c r="J963" i="1" s="1"/>
  <c r="F1584" i="1"/>
  <c r="I1584" i="1" s="1"/>
  <c r="H1584" i="1"/>
  <c r="K1584" i="1" s="1"/>
  <c r="G1584" i="1"/>
  <c r="J1584" i="1" s="1"/>
  <c r="F1008" i="1"/>
  <c r="I1008" i="1" s="1"/>
  <c r="H1008" i="1"/>
  <c r="K1008" i="1" s="1"/>
  <c r="G1008" i="1"/>
  <c r="J1008" i="1" s="1"/>
  <c r="F968" i="1"/>
  <c r="I968" i="1" s="1"/>
  <c r="H968" i="1"/>
  <c r="K968" i="1" s="1"/>
  <c r="G968" i="1"/>
  <c r="J968" i="1" s="1"/>
  <c r="F647" i="1"/>
  <c r="I647" i="1" s="1"/>
  <c r="H647" i="1"/>
  <c r="K647" i="1" s="1"/>
  <c r="G647" i="1"/>
  <c r="J647" i="1" s="1"/>
  <c r="F593" i="1"/>
  <c r="I593" i="1" s="1"/>
  <c r="H593" i="1"/>
  <c r="K593" i="1" s="1"/>
  <c r="G593" i="1"/>
  <c r="J593" i="1" s="1"/>
  <c r="F683" i="1"/>
  <c r="I683" i="1" s="1"/>
  <c r="H683" i="1"/>
  <c r="K683" i="1" s="1"/>
  <c r="G683" i="1"/>
  <c r="J683" i="1" s="1"/>
  <c r="F1343" i="1"/>
  <c r="I1343" i="1" s="1"/>
  <c r="H1343" i="1"/>
  <c r="K1343" i="1" s="1"/>
  <c r="G1343" i="1"/>
  <c r="J1343" i="1" s="1"/>
  <c r="F1256" i="1"/>
  <c r="I1256" i="1" s="1"/>
  <c r="H1256" i="1"/>
  <c r="K1256" i="1" s="1"/>
  <c r="G1256" i="1"/>
  <c r="J1256" i="1" s="1"/>
  <c r="F700" i="1"/>
  <c r="I700" i="1" s="1"/>
  <c r="H700" i="1"/>
  <c r="K700" i="1" s="1"/>
  <c r="G700" i="1"/>
  <c r="J700" i="1" s="1"/>
  <c r="F1545" i="1"/>
  <c r="I1545" i="1" s="1"/>
  <c r="H1545" i="1"/>
  <c r="K1545" i="1" s="1"/>
  <c r="G1545" i="1"/>
  <c r="J1545" i="1" s="1"/>
  <c r="F512" i="1"/>
  <c r="I512" i="1" s="1"/>
  <c r="H512" i="1"/>
  <c r="K512" i="1" s="1"/>
  <c r="G512" i="1"/>
  <c r="J512" i="1" s="1"/>
  <c r="F1475" i="1"/>
  <c r="I1475" i="1" s="1"/>
  <c r="H1475" i="1"/>
  <c r="K1475" i="1" s="1"/>
  <c r="G1475" i="1"/>
  <c r="J1475" i="1" s="1"/>
  <c r="F1246" i="1"/>
  <c r="I1246" i="1" s="1"/>
  <c r="H1246" i="1"/>
  <c r="K1246" i="1" s="1"/>
  <c r="G1246" i="1"/>
  <c r="J1246" i="1" s="1"/>
  <c r="F1533" i="1"/>
  <c r="I1533" i="1" s="1"/>
  <c r="H1533" i="1"/>
  <c r="K1533" i="1" s="1"/>
  <c r="G1533" i="1"/>
  <c r="J1533" i="1" s="1"/>
  <c r="F749" i="1"/>
  <c r="I749" i="1" s="1"/>
  <c r="H749" i="1"/>
  <c r="K749" i="1" s="1"/>
  <c r="G749" i="1"/>
  <c r="J749" i="1" s="1"/>
  <c r="F409" i="1"/>
  <c r="I409" i="1" s="1"/>
  <c r="G409" i="1"/>
  <c r="J409" i="1" s="1"/>
  <c r="H409" i="1"/>
  <c r="K409" i="1" s="1"/>
  <c r="F1052" i="1"/>
  <c r="I1052" i="1" s="1"/>
  <c r="H1052" i="1"/>
  <c r="K1052" i="1" s="1"/>
  <c r="G1052" i="1"/>
  <c r="J1052" i="1" s="1"/>
  <c r="F1404" i="1"/>
  <c r="I1404" i="1" s="1"/>
  <c r="H1404" i="1"/>
  <c r="K1404" i="1" s="1"/>
  <c r="G1404" i="1"/>
  <c r="J1404" i="1" s="1"/>
  <c r="F1365" i="1"/>
  <c r="I1365" i="1" s="1"/>
  <c r="H1365" i="1"/>
  <c r="K1365" i="1" s="1"/>
  <c r="G1365" i="1"/>
  <c r="J1365" i="1" s="1"/>
  <c r="F1110" i="1"/>
  <c r="I1110" i="1" s="1"/>
  <c r="H1110" i="1"/>
  <c r="K1110" i="1" s="1"/>
  <c r="G1110" i="1"/>
  <c r="J1110" i="1" s="1"/>
  <c r="F996" i="1"/>
  <c r="I996" i="1" s="1"/>
  <c r="H996" i="1"/>
  <c r="K996" i="1" s="1"/>
  <c r="G996" i="1"/>
  <c r="J996" i="1" s="1"/>
  <c r="F568" i="1"/>
  <c r="I568" i="1" s="1"/>
  <c r="H568" i="1"/>
  <c r="K568" i="1" s="1"/>
  <c r="G568" i="1"/>
  <c r="J568" i="1" s="1"/>
  <c r="F18" i="1"/>
  <c r="I18" i="1" s="1"/>
  <c r="H18" i="1"/>
  <c r="K18" i="1" s="1"/>
  <c r="G18" i="1"/>
  <c r="J18" i="1" s="1"/>
  <c r="F720" i="1"/>
  <c r="I720" i="1" s="1"/>
  <c r="H720" i="1"/>
  <c r="K720" i="1" s="1"/>
  <c r="G720" i="1"/>
  <c r="J720" i="1" s="1"/>
  <c r="F984" i="1"/>
  <c r="I984" i="1" s="1"/>
  <c r="H984" i="1"/>
  <c r="K984" i="1" s="1"/>
  <c r="G984" i="1"/>
  <c r="J984" i="1" s="1"/>
  <c r="F309" i="1"/>
  <c r="I309" i="1" s="1"/>
  <c r="H309" i="1"/>
  <c r="K309" i="1" s="1"/>
  <c r="G309" i="1"/>
  <c r="J309" i="1" s="1"/>
  <c r="F1473" i="1"/>
  <c r="I1473" i="1" s="1"/>
  <c r="H1473" i="1"/>
  <c r="K1473" i="1" s="1"/>
  <c r="G1473" i="1"/>
  <c r="J1473" i="1" s="1"/>
  <c r="F196" i="1"/>
  <c r="I196" i="1" s="1"/>
  <c r="H196" i="1"/>
  <c r="K196" i="1" s="1"/>
  <c r="G196" i="1"/>
  <c r="J196" i="1" s="1"/>
  <c r="F371" i="1"/>
  <c r="I371" i="1" s="1"/>
  <c r="G371" i="1"/>
  <c r="J371" i="1" s="1"/>
  <c r="H371" i="1"/>
  <c r="K371" i="1" s="1"/>
  <c r="F12" i="1"/>
  <c r="I12" i="1" s="1"/>
  <c r="H12" i="1"/>
  <c r="K12" i="1" s="1"/>
  <c r="G12" i="1"/>
  <c r="J12" i="1" s="1"/>
  <c r="F315" i="1"/>
  <c r="I315" i="1" s="1"/>
  <c r="H315" i="1"/>
  <c r="K315" i="1" s="1"/>
  <c r="G315" i="1"/>
  <c r="J315" i="1" s="1"/>
  <c r="F699" i="1"/>
  <c r="I699" i="1" s="1"/>
  <c r="H699" i="1"/>
  <c r="K699" i="1" s="1"/>
  <c r="G699" i="1"/>
  <c r="J699" i="1" s="1"/>
  <c r="F1408" i="1"/>
  <c r="I1408" i="1" s="1"/>
  <c r="H1408" i="1"/>
  <c r="K1408" i="1" s="1"/>
  <c r="G1408" i="1"/>
  <c r="J1408" i="1" s="1"/>
  <c r="F1375" i="1"/>
  <c r="I1375" i="1" s="1"/>
  <c r="H1375" i="1"/>
  <c r="K1375" i="1" s="1"/>
  <c r="G1375" i="1"/>
  <c r="J1375" i="1" s="1"/>
  <c r="F1037" i="1"/>
  <c r="I1037" i="1" s="1"/>
  <c r="H1037" i="1"/>
  <c r="K1037" i="1" s="1"/>
  <c r="G1037" i="1"/>
  <c r="J1037" i="1" s="1"/>
  <c r="F1315" i="1"/>
  <c r="I1315" i="1" s="1"/>
  <c r="H1315" i="1"/>
  <c r="K1315" i="1" s="1"/>
  <c r="G1315" i="1"/>
  <c r="J1315" i="1" s="1"/>
  <c r="F623" i="1"/>
  <c r="I623" i="1" s="1"/>
  <c r="H623" i="1"/>
  <c r="K623" i="1" s="1"/>
  <c r="G623" i="1"/>
  <c r="J623" i="1" s="1"/>
  <c r="F489" i="1"/>
  <c r="I489" i="1" s="1"/>
  <c r="H489" i="1"/>
  <c r="K489" i="1" s="1"/>
  <c r="G489" i="1"/>
  <c r="J489" i="1" s="1"/>
  <c r="F301" i="1"/>
  <c r="I301" i="1" s="1"/>
  <c r="H301" i="1"/>
  <c r="K301" i="1" s="1"/>
  <c r="G301" i="1"/>
  <c r="J301" i="1" s="1"/>
  <c r="F1146" i="1"/>
  <c r="I1146" i="1" s="1"/>
  <c r="G1146" i="1"/>
  <c r="J1146" i="1" s="1"/>
  <c r="H1146" i="1"/>
  <c r="K1146" i="1" s="1"/>
  <c r="F1190" i="1"/>
  <c r="I1190" i="1" s="1"/>
  <c r="H1190" i="1"/>
  <c r="K1190" i="1" s="1"/>
  <c r="G1190" i="1"/>
  <c r="J1190" i="1" s="1"/>
  <c r="F492" i="1"/>
  <c r="I492" i="1" s="1"/>
  <c r="H492" i="1"/>
  <c r="K492" i="1" s="1"/>
  <c r="G492" i="1"/>
  <c r="J492" i="1" s="1"/>
  <c r="F973" i="1"/>
  <c r="I973" i="1" s="1"/>
  <c r="H973" i="1"/>
  <c r="K973" i="1" s="1"/>
  <c r="G973" i="1"/>
  <c r="J973" i="1" s="1"/>
  <c r="F558" i="1"/>
  <c r="I558" i="1" s="1"/>
  <c r="G558" i="1"/>
  <c r="J558" i="1" s="1"/>
  <c r="H558" i="1"/>
  <c r="K558" i="1" s="1"/>
  <c r="F1469" i="1"/>
  <c r="I1469" i="1" s="1"/>
  <c r="H1469" i="1"/>
  <c r="K1469" i="1" s="1"/>
  <c r="G1469" i="1"/>
  <c r="J1469" i="1" s="1"/>
  <c r="F731" i="1"/>
  <c r="I731" i="1" s="1"/>
  <c r="H731" i="1"/>
  <c r="K731" i="1" s="1"/>
  <c r="G731" i="1"/>
  <c r="J731" i="1" s="1"/>
  <c r="F1549" i="1"/>
  <c r="I1549" i="1" s="1"/>
  <c r="G1549" i="1"/>
  <c r="J1549" i="1" s="1"/>
  <c r="H1549" i="1"/>
  <c r="K1549" i="1" s="1"/>
  <c r="F876" i="1"/>
  <c r="I876" i="1" s="1"/>
  <c r="H876" i="1"/>
  <c r="K876" i="1" s="1"/>
  <c r="G876" i="1"/>
  <c r="J876" i="1" s="1"/>
  <c r="F960" i="1"/>
  <c r="I960" i="1" s="1"/>
  <c r="H960" i="1"/>
  <c r="K960" i="1" s="1"/>
  <c r="G960" i="1"/>
  <c r="J960" i="1" s="1"/>
  <c r="F1111" i="1"/>
  <c r="I1111" i="1" s="1"/>
  <c r="H1111" i="1"/>
  <c r="K1111" i="1" s="1"/>
  <c r="G1111" i="1"/>
  <c r="J1111" i="1" s="1"/>
  <c r="F916" i="1"/>
  <c r="I916" i="1" s="1"/>
  <c r="H916" i="1"/>
  <c r="K916" i="1" s="1"/>
  <c r="G916" i="1"/>
  <c r="J916" i="1" s="1"/>
  <c r="F278" i="1"/>
  <c r="I278" i="1" s="1"/>
  <c r="H278" i="1"/>
  <c r="K278" i="1" s="1"/>
  <c r="G278" i="1"/>
  <c r="J278" i="1" s="1"/>
  <c r="F1061" i="1"/>
  <c r="I1061" i="1" s="1"/>
  <c r="H1061" i="1"/>
  <c r="K1061" i="1" s="1"/>
  <c r="G1061" i="1"/>
  <c r="J1061" i="1" s="1"/>
  <c r="F265" i="1"/>
  <c r="I265" i="1" s="1"/>
  <c r="H265" i="1"/>
  <c r="K265" i="1" s="1"/>
  <c r="G265" i="1"/>
  <c r="J265" i="1" s="1"/>
  <c r="F863" i="1"/>
  <c r="I863" i="1" s="1"/>
  <c r="H863" i="1"/>
  <c r="K863" i="1" s="1"/>
  <c r="G863" i="1"/>
  <c r="J863" i="1" s="1"/>
  <c r="F258" i="1"/>
  <c r="I258" i="1" s="1"/>
  <c r="H258" i="1"/>
  <c r="K258" i="1" s="1"/>
  <c r="G258" i="1"/>
  <c r="J258" i="1" s="1"/>
  <c r="F685" i="1"/>
  <c r="I685" i="1" s="1"/>
  <c r="H685" i="1"/>
  <c r="K685" i="1" s="1"/>
  <c r="G685" i="1"/>
  <c r="J685" i="1" s="1"/>
  <c r="F154" i="1"/>
  <c r="I154" i="1" s="1"/>
  <c r="H154" i="1"/>
  <c r="K154" i="1" s="1"/>
  <c r="G154" i="1"/>
  <c r="J154" i="1" s="1"/>
  <c r="F1423" i="1"/>
  <c r="I1423" i="1" s="1"/>
  <c r="H1423" i="1"/>
  <c r="K1423" i="1" s="1"/>
  <c r="G1423" i="1"/>
  <c r="J1423" i="1" s="1"/>
  <c r="F130" i="1"/>
  <c r="I130" i="1" s="1"/>
  <c r="H130" i="1"/>
  <c r="K130" i="1" s="1"/>
  <c r="G130" i="1"/>
  <c r="J130" i="1" s="1"/>
  <c r="F1513" i="1"/>
  <c r="I1513" i="1" s="1"/>
  <c r="H1513" i="1"/>
  <c r="K1513" i="1" s="1"/>
  <c r="G1513" i="1"/>
  <c r="J1513" i="1" s="1"/>
  <c r="F397" i="1"/>
  <c r="I397" i="1" s="1"/>
  <c r="H397" i="1"/>
  <c r="K397" i="1" s="1"/>
  <c r="G397" i="1"/>
  <c r="J397" i="1" s="1"/>
  <c r="F1543" i="1"/>
  <c r="I1543" i="1" s="1"/>
  <c r="H1543" i="1"/>
  <c r="K1543" i="1" s="1"/>
  <c r="G1543" i="1"/>
  <c r="J1543" i="1" s="1"/>
  <c r="F1546" i="1"/>
  <c r="I1546" i="1" s="1"/>
  <c r="H1546" i="1"/>
  <c r="K1546" i="1" s="1"/>
  <c r="G1546" i="1"/>
  <c r="J1546" i="1" s="1"/>
  <c r="F1425" i="1"/>
  <c r="I1425" i="1" s="1"/>
  <c r="G1425" i="1"/>
  <c r="J1425" i="1" s="1"/>
  <c r="H1425" i="1"/>
  <c r="K1425" i="1" s="1"/>
  <c r="F1463" i="1"/>
  <c r="I1463" i="1" s="1"/>
  <c r="H1463" i="1"/>
  <c r="K1463" i="1" s="1"/>
  <c r="G1463" i="1"/>
  <c r="J1463" i="1" s="1"/>
  <c r="F1454" i="1"/>
  <c r="I1454" i="1" s="1"/>
  <c r="H1454" i="1"/>
  <c r="K1454" i="1" s="1"/>
  <c r="G1454" i="1"/>
  <c r="J1454" i="1" s="1"/>
  <c r="F1531" i="1"/>
  <c r="I1531" i="1" s="1"/>
  <c r="H1531" i="1"/>
  <c r="K1531" i="1" s="1"/>
  <c r="G1531" i="1"/>
  <c r="J1531" i="1" s="1"/>
  <c r="F423" i="1"/>
  <c r="I423" i="1" s="1"/>
  <c r="H423" i="1"/>
  <c r="K423" i="1" s="1"/>
  <c r="G423" i="1"/>
  <c r="J423" i="1" s="1"/>
  <c r="F1325" i="1"/>
  <c r="I1325" i="1" s="1"/>
  <c r="H1325" i="1"/>
  <c r="K1325" i="1" s="1"/>
  <c r="G1325" i="1"/>
  <c r="J1325" i="1" s="1"/>
  <c r="F36" i="1"/>
  <c r="I36" i="1" s="1"/>
  <c r="H36" i="1"/>
  <c r="K36" i="1" s="1"/>
  <c r="G36" i="1"/>
  <c r="J36" i="1" s="1"/>
  <c r="F738" i="1"/>
  <c r="I738" i="1" s="1"/>
  <c r="H738" i="1"/>
  <c r="K738" i="1" s="1"/>
  <c r="G738" i="1"/>
  <c r="J738" i="1" s="1"/>
  <c r="F1462" i="1"/>
  <c r="I1462" i="1" s="1"/>
  <c r="H1462" i="1"/>
  <c r="K1462" i="1" s="1"/>
  <c r="G1462" i="1"/>
  <c r="J1462" i="1" s="1"/>
  <c r="F993" i="1"/>
  <c r="I993" i="1" s="1"/>
  <c r="H993" i="1"/>
  <c r="K993" i="1" s="1"/>
  <c r="G993" i="1"/>
  <c r="J993" i="1" s="1"/>
  <c r="F1023" i="1"/>
  <c r="I1023" i="1" s="1"/>
  <c r="H1023" i="1"/>
  <c r="K1023" i="1" s="1"/>
  <c r="G1023" i="1"/>
  <c r="J1023" i="1" s="1"/>
  <c r="F109" i="1"/>
  <c r="I109" i="1" s="1"/>
  <c r="G109" i="1"/>
  <c r="J109" i="1" s="1"/>
  <c r="H109" i="1"/>
  <c r="K109" i="1" s="1"/>
  <c r="F1426" i="1"/>
  <c r="I1426" i="1" s="1"/>
  <c r="H1426" i="1"/>
  <c r="K1426" i="1" s="1"/>
  <c r="G1426" i="1"/>
  <c r="J1426" i="1" s="1"/>
  <c r="F873" i="1"/>
  <c r="I873" i="1" s="1"/>
  <c r="G873" i="1"/>
  <c r="J873" i="1" s="1"/>
  <c r="H873" i="1"/>
  <c r="K873" i="1" s="1"/>
  <c r="F1264" i="1"/>
  <c r="I1264" i="1" s="1"/>
  <c r="H1264" i="1"/>
  <c r="K1264" i="1" s="1"/>
  <c r="G1264" i="1"/>
  <c r="J1264" i="1" s="1"/>
  <c r="F1129" i="1"/>
  <c r="I1129" i="1" s="1"/>
  <c r="H1129" i="1"/>
  <c r="K1129" i="1" s="1"/>
  <c r="G1129" i="1"/>
  <c r="J1129" i="1" s="1"/>
  <c r="F1330" i="1"/>
  <c r="I1330" i="1" s="1"/>
  <c r="H1330" i="1"/>
  <c r="K1330" i="1" s="1"/>
  <c r="G1330" i="1"/>
  <c r="J1330" i="1" s="1"/>
  <c r="F1432" i="1"/>
  <c r="I1432" i="1" s="1"/>
  <c r="H1432" i="1"/>
  <c r="K1432" i="1" s="1"/>
  <c r="G1432" i="1"/>
  <c r="J1432" i="1" s="1"/>
  <c r="F1530" i="1"/>
  <c r="I1530" i="1" s="1"/>
  <c r="H1530" i="1"/>
  <c r="K1530" i="1" s="1"/>
  <c r="G1530" i="1"/>
  <c r="J1530" i="1" s="1"/>
  <c r="F1373" i="1"/>
  <c r="I1373" i="1" s="1"/>
  <c r="H1373" i="1"/>
  <c r="K1373" i="1" s="1"/>
  <c r="G1373" i="1"/>
  <c r="J1373" i="1" s="1"/>
  <c r="F431" i="1"/>
  <c r="I431" i="1" s="1"/>
  <c r="H431" i="1"/>
  <c r="K431" i="1" s="1"/>
  <c r="G431" i="1"/>
  <c r="J431" i="1" s="1"/>
  <c r="F1062" i="1"/>
  <c r="I1062" i="1" s="1"/>
  <c r="H1062" i="1"/>
  <c r="K1062" i="1" s="1"/>
  <c r="G1062" i="1"/>
  <c r="J1062" i="1" s="1"/>
  <c r="F1479" i="1"/>
  <c r="I1479" i="1" s="1"/>
  <c r="H1479" i="1"/>
  <c r="K1479" i="1" s="1"/>
  <c r="G1479" i="1"/>
  <c r="J1479" i="1" s="1"/>
  <c r="F396" i="1"/>
  <c r="I396" i="1" s="1"/>
  <c r="G396" i="1"/>
  <c r="J396" i="1" s="1"/>
  <c r="H396" i="1"/>
  <c r="K396" i="1" s="1"/>
  <c r="F651" i="1"/>
  <c r="I651" i="1" s="1"/>
  <c r="H651" i="1"/>
  <c r="K651" i="1" s="1"/>
  <c r="G651" i="1"/>
  <c r="J651" i="1" s="1"/>
  <c r="F1590" i="1"/>
  <c r="I1590" i="1" s="1"/>
  <c r="H1590" i="1"/>
  <c r="K1590" i="1" s="1"/>
  <c r="G1590" i="1"/>
  <c r="J1590" i="1" s="1"/>
  <c r="F614" i="1"/>
  <c r="I614" i="1" s="1"/>
  <c r="H614" i="1"/>
  <c r="K614" i="1" s="1"/>
  <c r="G614" i="1"/>
  <c r="J614" i="1" s="1"/>
  <c r="F1417" i="1"/>
  <c r="I1417" i="1" s="1"/>
  <c r="H1417" i="1"/>
  <c r="K1417" i="1" s="1"/>
  <c r="G1417" i="1"/>
  <c r="J1417" i="1" s="1"/>
  <c r="F733" i="1"/>
  <c r="I733" i="1" s="1"/>
  <c r="H733" i="1"/>
  <c r="K733" i="1" s="1"/>
  <c r="G733" i="1"/>
  <c r="J733" i="1" s="1"/>
  <c r="F1382" i="1"/>
  <c r="I1382" i="1" s="1"/>
  <c r="H1382" i="1"/>
  <c r="K1382" i="1" s="1"/>
  <c r="G1382" i="1"/>
  <c r="J1382" i="1" s="1"/>
  <c r="F597" i="1"/>
  <c r="I597" i="1" s="1"/>
  <c r="H597" i="1"/>
  <c r="K597" i="1" s="1"/>
  <c r="G597" i="1"/>
  <c r="J597" i="1" s="1"/>
  <c r="F1117" i="1"/>
  <c r="I1117" i="1" s="1"/>
  <c r="H1117" i="1"/>
  <c r="K1117" i="1" s="1"/>
  <c r="G1117" i="1"/>
  <c r="J1117" i="1" s="1"/>
  <c r="F1321" i="1"/>
  <c r="I1321" i="1" s="1"/>
  <c r="H1321" i="1"/>
  <c r="K1321" i="1" s="1"/>
  <c r="G1321" i="1"/>
  <c r="J1321" i="1" s="1"/>
  <c r="F598" i="1"/>
  <c r="I598" i="1" s="1"/>
  <c r="H598" i="1"/>
  <c r="K598" i="1" s="1"/>
  <c r="G598" i="1"/>
  <c r="J598" i="1" s="1"/>
  <c r="F837" i="1"/>
  <c r="I837" i="1" s="1"/>
  <c r="H837" i="1"/>
  <c r="K837" i="1" s="1"/>
  <c r="G837" i="1"/>
  <c r="J837" i="1" s="1"/>
  <c r="F1470" i="1"/>
  <c r="I1470" i="1" s="1"/>
  <c r="H1470" i="1"/>
  <c r="K1470" i="1" s="1"/>
  <c r="G1470" i="1"/>
  <c r="J1470" i="1" s="1"/>
  <c r="F567" i="1"/>
  <c r="I567" i="1" s="1"/>
  <c r="G567" i="1"/>
  <c r="J567" i="1" s="1"/>
  <c r="H567" i="1"/>
  <c r="K567" i="1" s="1"/>
  <c r="F1317" i="1"/>
  <c r="I1317" i="1" s="1"/>
  <c r="H1317" i="1"/>
  <c r="K1317" i="1" s="1"/>
  <c r="G1317" i="1"/>
  <c r="J1317" i="1" s="1"/>
  <c r="F1191" i="1"/>
  <c r="I1191" i="1" s="1"/>
  <c r="H1191" i="1"/>
  <c r="K1191" i="1" s="1"/>
  <c r="G1191" i="1"/>
  <c r="J1191" i="1" s="1"/>
  <c r="F926" i="1"/>
  <c r="I926" i="1" s="1"/>
  <c r="H926" i="1"/>
  <c r="K926" i="1" s="1"/>
  <c r="G926" i="1"/>
  <c r="J926" i="1" s="1"/>
  <c r="F1503" i="1"/>
  <c r="I1503" i="1" s="1"/>
  <c r="H1503" i="1"/>
  <c r="K1503" i="1" s="1"/>
  <c r="G1503" i="1"/>
  <c r="J1503" i="1" s="1"/>
  <c r="F1137" i="1"/>
  <c r="I1137" i="1" s="1"/>
  <c r="H1137" i="1"/>
  <c r="K1137" i="1" s="1"/>
  <c r="G1137" i="1"/>
  <c r="J1137" i="1" s="1"/>
  <c r="F1149" i="1"/>
  <c r="I1149" i="1" s="1"/>
  <c r="H1149" i="1"/>
  <c r="K1149" i="1" s="1"/>
  <c r="G1149" i="1"/>
  <c r="J1149" i="1" s="1"/>
  <c r="F1099" i="1"/>
  <c r="I1099" i="1" s="1"/>
  <c r="H1099" i="1"/>
  <c r="K1099" i="1" s="1"/>
  <c r="G1099" i="1"/>
  <c r="J1099" i="1" s="1"/>
  <c r="F761" i="1"/>
  <c r="I761" i="1" s="1"/>
  <c r="H761" i="1"/>
  <c r="K761" i="1" s="1"/>
  <c r="G761" i="1"/>
  <c r="J761" i="1" s="1"/>
  <c r="F1433" i="1"/>
  <c r="I1433" i="1" s="1"/>
  <c r="H1433" i="1"/>
  <c r="K1433" i="1" s="1"/>
  <c r="G1433" i="1"/>
  <c r="J1433" i="1" s="1"/>
  <c r="F1497" i="1"/>
  <c r="I1497" i="1" s="1"/>
  <c r="H1497" i="1"/>
  <c r="K1497" i="1" s="1"/>
  <c r="G1497" i="1"/>
  <c r="J1497" i="1" s="1"/>
  <c r="F1217" i="1"/>
  <c r="I1217" i="1" s="1"/>
  <c r="H1217" i="1"/>
  <c r="K1217" i="1" s="1"/>
  <c r="G1217" i="1"/>
  <c r="J1217" i="1" s="1"/>
  <c r="F646" i="1"/>
  <c r="I646" i="1" s="1"/>
  <c r="H646" i="1"/>
  <c r="K646" i="1" s="1"/>
  <c r="G646" i="1"/>
  <c r="J646" i="1" s="1"/>
  <c r="F388" i="1"/>
  <c r="I388" i="1" s="1"/>
  <c r="H388" i="1"/>
  <c r="K388" i="1" s="1"/>
  <c r="G388" i="1"/>
  <c r="J388" i="1" s="1"/>
  <c r="F290" i="1"/>
  <c r="I290" i="1" s="1"/>
  <c r="H290" i="1"/>
  <c r="K290" i="1" s="1"/>
  <c r="G290" i="1"/>
  <c r="J290" i="1" s="1"/>
  <c r="F1214" i="1"/>
  <c r="I1214" i="1" s="1"/>
  <c r="H1214" i="1"/>
  <c r="K1214" i="1" s="1"/>
  <c r="G1214" i="1"/>
  <c r="J1214" i="1" s="1"/>
  <c r="F1553" i="1"/>
  <c r="I1553" i="1" s="1"/>
  <c r="H1553" i="1"/>
  <c r="K1553" i="1" s="1"/>
  <c r="G1553" i="1"/>
  <c r="J1553" i="1" s="1"/>
  <c r="F1358" i="1"/>
  <c r="I1358" i="1" s="1"/>
  <c r="H1358" i="1"/>
  <c r="K1358" i="1" s="1"/>
  <c r="G1358" i="1"/>
  <c r="J1358" i="1" s="1"/>
  <c r="F832" i="1"/>
  <c r="I832" i="1" s="1"/>
  <c r="H832" i="1"/>
  <c r="K832" i="1" s="1"/>
  <c r="G832" i="1"/>
  <c r="J832" i="1" s="1"/>
  <c r="F1485" i="1"/>
  <c r="I1485" i="1" s="1"/>
  <c r="H1485" i="1"/>
  <c r="K1485" i="1" s="1"/>
  <c r="G1485" i="1"/>
  <c r="J1485" i="1" s="1"/>
  <c r="F1171" i="1"/>
  <c r="I1171" i="1" s="1"/>
  <c r="H1171" i="1"/>
  <c r="K1171" i="1" s="1"/>
  <c r="G1171" i="1"/>
  <c r="J1171" i="1" s="1"/>
  <c r="F1538" i="1"/>
  <c r="I1538" i="1" s="1"/>
  <c r="H1538" i="1"/>
  <c r="K1538" i="1" s="1"/>
  <c r="G1538" i="1"/>
  <c r="J1538" i="1" s="1"/>
  <c r="F1344" i="1"/>
  <c r="I1344" i="1" s="1"/>
  <c r="H1344" i="1"/>
  <c r="K1344" i="1" s="1"/>
  <c r="G1344" i="1"/>
  <c r="J1344" i="1" s="1"/>
  <c r="F819" i="1"/>
  <c r="I819" i="1" s="1"/>
  <c r="H819" i="1"/>
  <c r="K819" i="1" s="1"/>
  <c r="G819" i="1"/>
  <c r="J819" i="1" s="1"/>
  <c r="F237" i="1"/>
  <c r="I237" i="1" s="1"/>
  <c r="H237" i="1"/>
  <c r="K237" i="1" s="1"/>
  <c r="G237" i="1"/>
  <c r="J237" i="1" s="1"/>
  <c r="F588" i="1"/>
  <c r="I588" i="1" s="1"/>
  <c r="H588" i="1"/>
  <c r="K588" i="1" s="1"/>
  <c r="G588" i="1"/>
  <c r="J588" i="1" s="1"/>
  <c r="F1031" i="1"/>
  <c r="I1031" i="1" s="1"/>
  <c r="H1031" i="1"/>
  <c r="K1031" i="1" s="1"/>
  <c r="G1031" i="1"/>
  <c r="J1031" i="1" s="1"/>
  <c r="F473" i="1"/>
  <c r="I473" i="1" s="1"/>
  <c r="H473" i="1"/>
  <c r="K473" i="1" s="1"/>
  <c r="G473" i="1"/>
  <c r="J473" i="1" s="1"/>
  <c r="F152" i="1"/>
  <c r="I152" i="1" s="1"/>
  <c r="H152" i="1"/>
  <c r="K152" i="1" s="1"/>
  <c r="G152" i="1"/>
  <c r="J152" i="1" s="1"/>
  <c r="F1135" i="1"/>
  <c r="I1135" i="1" s="1"/>
  <c r="H1135" i="1"/>
  <c r="K1135" i="1" s="1"/>
  <c r="G1135" i="1"/>
  <c r="J1135" i="1" s="1"/>
  <c r="F1297" i="1"/>
  <c r="I1297" i="1" s="1"/>
  <c r="H1297" i="1"/>
  <c r="K1297" i="1" s="1"/>
  <c r="G1297" i="1"/>
  <c r="J1297" i="1" s="1"/>
  <c r="F1567" i="1"/>
  <c r="I1567" i="1" s="1"/>
  <c r="H1567" i="1"/>
  <c r="K1567" i="1" s="1"/>
  <c r="G1567" i="1"/>
  <c r="J1567" i="1" s="1"/>
  <c r="F1213" i="1"/>
  <c r="I1213" i="1" s="1"/>
  <c r="G1213" i="1"/>
  <c r="J1213" i="1" s="1"/>
  <c r="H1213" i="1"/>
  <c r="K1213" i="1" s="1"/>
  <c r="F45" i="1"/>
  <c r="I45" i="1" s="1"/>
  <c r="H45" i="1"/>
  <c r="K45" i="1" s="1"/>
  <c r="G45" i="1"/>
  <c r="J45" i="1" s="1"/>
  <c r="F289" i="1"/>
  <c r="I289" i="1" s="1"/>
  <c r="H289" i="1"/>
  <c r="K289" i="1" s="1"/>
  <c r="G289" i="1"/>
  <c r="J289" i="1" s="1"/>
  <c r="F1012" i="1"/>
  <c r="I1012" i="1" s="1"/>
  <c r="H1012" i="1"/>
  <c r="K1012" i="1" s="1"/>
  <c r="G1012" i="1"/>
  <c r="J1012" i="1" s="1"/>
  <c r="F1380" i="1"/>
  <c r="I1380" i="1" s="1"/>
  <c r="H1380" i="1"/>
  <c r="K1380" i="1" s="1"/>
  <c r="G1380" i="1"/>
  <c r="J1380" i="1" s="1"/>
  <c r="F1187" i="1"/>
  <c r="I1187" i="1" s="1"/>
  <c r="H1187" i="1"/>
  <c r="K1187" i="1" s="1"/>
  <c r="G1187" i="1"/>
  <c r="J1187" i="1" s="1"/>
  <c r="F610" i="1"/>
  <c r="I610" i="1" s="1"/>
  <c r="H610" i="1"/>
  <c r="K610" i="1" s="1"/>
  <c r="G610" i="1"/>
  <c r="J610" i="1" s="1"/>
  <c r="F818" i="1"/>
  <c r="I818" i="1" s="1"/>
  <c r="H818" i="1"/>
  <c r="K818" i="1" s="1"/>
  <c r="G818" i="1"/>
  <c r="J818" i="1" s="1"/>
  <c r="F1541" i="1"/>
  <c r="I1541" i="1" s="1"/>
  <c r="H1541" i="1"/>
  <c r="K1541" i="1" s="1"/>
  <c r="G1541" i="1"/>
  <c r="J1541" i="1" s="1"/>
  <c r="F1065" i="1"/>
  <c r="I1065" i="1" s="1"/>
  <c r="H1065" i="1"/>
  <c r="K1065" i="1" s="1"/>
  <c r="G1065" i="1"/>
  <c r="J1065" i="1" s="1"/>
  <c r="F117" i="1"/>
  <c r="I117" i="1" s="1"/>
  <c r="H117" i="1"/>
  <c r="K117" i="1" s="1"/>
  <c r="G117" i="1"/>
  <c r="J117" i="1" s="1"/>
  <c r="F1158" i="1"/>
  <c r="I1158" i="1" s="1"/>
  <c r="H1158" i="1"/>
  <c r="K1158" i="1" s="1"/>
  <c r="G1158" i="1"/>
  <c r="J1158" i="1" s="1"/>
  <c r="F1285" i="1"/>
  <c r="I1285" i="1" s="1"/>
  <c r="H1285" i="1"/>
  <c r="K1285" i="1" s="1"/>
  <c r="G1285" i="1"/>
  <c r="J1285" i="1" s="1"/>
  <c r="F555" i="1"/>
  <c r="I555" i="1" s="1"/>
  <c r="H555" i="1"/>
  <c r="K555" i="1" s="1"/>
  <c r="G555" i="1"/>
  <c r="J555" i="1" s="1"/>
  <c r="F1561" i="1"/>
  <c r="I1561" i="1" s="1"/>
  <c r="H1561" i="1"/>
  <c r="K1561" i="1" s="1"/>
  <c r="G1561" i="1"/>
  <c r="J1561" i="1" s="1"/>
  <c r="F1182" i="1"/>
  <c r="I1182" i="1" s="1"/>
  <c r="H1182" i="1"/>
  <c r="K1182" i="1" s="1"/>
  <c r="G1182" i="1"/>
  <c r="J1182" i="1" s="1"/>
  <c r="F119" i="1"/>
  <c r="I119" i="1" s="1"/>
  <c r="H119" i="1"/>
  <c r="K119" i="1" s="1"/>
  <c r="G119" i="1"/>
  <c r="J119" i="1" s="1"/>
  <c r="F1196" i="1"/>
  <c r="I1196" i="1" s="1"/>
  <c r="H1196" i="1"/>
  <c r="K1196" i="1" s="1"/>
  <c r="G1196" i="1"/>
  <c r="J1196" i="1" s="1"/>
  <c r="F187" i="1"/>
  <c r="I187" i="1" s="1"/>
  <c r="H187" i="1"/>
  <c r="K187" i="1" s="1"/>
  <c r="G187" i="1"/>
  <c r="J187" i="1" s="1"/>
  <c r="F1566" i="1"/>
  <c r="I1566" i="1" s="1"/>
  <c r="H1566" i="1"/>
  <c r="K1566" i="1" s="1"/>
  <c r="G1566" i="1"/>
  <c r="J1566" i="1" s="1"/>
  <c r="F970" i="1"/>
  <c r="I970" i="1" s="1"/>
  <c r="H970" i="1"/>
  <c r="K970" i="1" s="1"/>
  <c r="G970" i="1"/>
  <c r="J970" i="1" s="1"/>
  <c r="F350" i="1"/>
  <c r="I350" i="1" s="1"/>
  <c r="H350" i="1"/>
  <c r="K350" i="1" s="1"/>
  <c r="G350" i="1"/>
  <c r="J350" i="1" s="1"/>
  <c r="F906" i="1"/>
  <c r="I906" i="1" s="1"/>
  <c r="H906" i="1"/>
  <c r="K906" i="1" s="1"/>
  <c r="G906" i="1"/>
  <c r="J906" i="1" s="1"/>
  <c r="F1165" i="1"/>
  <c r="I1165" i="1" s="1"/>
  <c r="H1165" i="1"/>
  <c r="K1165" i="1" s="1"/>
  <c r="G1165" i="1"/>
  <c r="J1165" i="1" s="1"/>
  <c r="F912" i="1"/>
  <c r="I912" i="1" s="1"/>
  <c r="H912" i="1"/>
  <c r="K912" i="1" s="1"/>
  <c r="G912" i="1"/>
  <c r="J912" i="1" s="1"/>
  <c r="F1480" i="1"/>
  <c r="I1480" i="1" s="1"/>
  <c r="H1480" i="1"/>
  <c r="K1480" i="1" s="1"/>
  <c r="G1480" i="1"/>
  <c r="J1480" i="1" s="1"/>
  <c r="F532" i="1"/>
  <c r="I532" i="1" s="1"/>
  <c r="H532" i="1"/>
  <c r="K532" i="1" s="1"/>
  <c r="G532" i="1"/>
  <c r="J532" i="1" s="1"/>
  <c r="F213" i="1"/>
  <c r="I213" i="1" s="1"/>
  <c r="H213" i="1"/>
  <c r="K213" i="1" s="1"/>
  <c r="G213" i="1"/>
  <c r="J213" i="1" s="1"/>
  <c r="F197" i="1"/>
  <c r="I197" i="1" s="1"/>
  <c r="H197" i="1"/>
  <c r="K197" i="1" s="1"/>
  <c r="G197" i="1"/>
  <c r="J197" i="1" s="1"/>
  <c r="F1502" i="1"/>
  <c r="I1502" i="1" s="1"/>
  <c r="H1502" i="1"/>
  <c r="K1502" i="1" s="1"/>
  <c r="G1502" i="1"/>
  <c r="J1502" i="1" s="1"/>
  <c r="F578" i="1"/>
  <c r="I578" i="1" s="1"/>
  <c r="H578" i="1"/>
  <c r="K578" i="1" s="1"/>
  <c r="G578" i="1"/>
  <c r="J578" i="1" s="1"/>
  <c r="F1400" i="1"/>
  <c r="I1400" i="1" s="1"/>
  <c r="H1400" i="1"/>
  <c r="K1400" i="1" s="1"/>
  <c r="G1400" i="1"/>
  <c r="J1400" i="1" s="1"/>
  <c r="F403" i="1"/>
  <c r="I403" i="1" s="1"/>
  <c r="H403" i="1"/>
  <c r="K403" i="1" s="1"/>
  <c r="G403" i="1"/>
  <c r="J403" i="1" s="1"/>
  <c r="F978" i="1"/>
  <c r="I978" i="1" s="1"/>
  <c r="G978" i="1"/>
  <c r="J978" i="1" s="1"/>
  <c r="H978" i="1"/>
  <c r="K978" i="1" s="1"/>
  <c r="F1537" i="1"/>
  <c r="I1537" i="1" s="1"/>
  <c r="H1537" i="1"/>
  <c r="K1537" i="1" s="1"/>
  <c r="G1537" i="1"/>
  <c r="J1537" i="1" s="1"/>
  <c r="F1332" i="1"/>
  <c r="I1332" i="1" s="1"/>
  <c r="H1332" i="1"/>
  <c r="K1332" i="1" s="1"/>
  <c r="G1332" i="1"/>
  <c r="J1332" i="1" s="1"/>
  <c r="F528" i="1"/>
  <c r="I528" i="1" s="1"/>
  <c r="H528" i="1"/>
  <c r="K528" i="1" s="1"/>
  <c r="G528" i="1"/>
  <c r="J528" i="1" s="1"/>
  <c r="F382" i="1"/>
  <c r="I382" i="1" s="1"/>
  <c r="H382" i="1"/>
  <c r="K382" i="1" s="1"/>
  <c r="G382" i="1"/>
  <c r="J382" i="1" s="1"/>
  <c r="F1136" i="1"/>
  <c r="I1136" i="1" s="1"/>
  <c r="H1136" i="1"/>
  <c r="K1136" i="1" s="1"/>
  <c r="G1136" i="1"/>
  <c r="J1136" i="1" s="1"/>
  <c r="F592" i="1"/>
  <c r="I592" i="1" s="1"/>
  <c r="H592" i="1"/>
  <c r="K592" i="1" s="1"/>
  <c r="G592" i="1"/>
  <c r="J592" i="1" s="1"/>
  <c r="F928" i="1"/>
  <c r="I928" i="1" s="1"/>
  <c r="H928" i="1"/>
  <c r="K928" i="1" s="1"/>
  <c r="G928" i="1"/>
  <c r="J928" i="1" s="1"/>
  <c r="F884" i="1"/>
  <c r="I884" i="1" s="1"/>
  <c r="H884" i="1"/>
  <c r="K884" i="1" s="1"/>
  <c r="G884" i="1"/>
  <c r="J884" i="1" s="1"/>
  <c r="F792" i="1"/>
  <c r="I792" i="1" s="1"/>
  <c r="H792" i="1"/>
  <c r="K792" i="1" s="1"/>
  <c r="G792" i="1"/>
  <c r="J792" i="1" s="1"/>
  <c r="F1364" i="1"/>
  <c r="I1364" i="1" s="1"/>
  <c r="H1364" i="1"/>
  <c r="K1364" i="1" s="1"/>
  <c r="G1364" i="1"/>
  <c r="J1364" i="1" s="1"/>
  <c r="F841" i="1"/>
  <c r="I841" i="1" s="1"/>
  <c r="H841" i="1"/>
  <c r="K841" i="1" s="1"/>
  <c r="G841" i="1"/>
  <c r="J841" i="1" s="1"/>
  <c r="F971" i="1"/>
  <c r="I971" i="1" s="1"/>
  <c r="H971" i="1"/>
  <c r="K971" i="1" s="1"/>
  <c r="G971" i="1"/>
  <c r="J971" i="1" s="1"/>
  <c r="F1555" i="1"/>
  <c r="I1555" i="1" s="1"/>
  <c r="H1555" i="1"/>
  <c r="K1555" i="1" s="1"/>
  <c r="G1555" i="1"/>
  <c r="J1555" i="1" s="1"/>
  <c r="F414" i="1"/>
  <c r="I414" i="1" s="1"/>
  <c r="H414" i="1"/>
  <c r="K414" i="1" s="1"/>
  <c r="G414" i="1"/>
  <c r="J414" i="1" s="1"/>
  <c r="F398" i="1"/>
  <c r="I398" i="1" s="1"/>
  <c r="H398" i="1"/>
  <c r="K398" i="1" s="1"/>
  <c r="G398" i="1"/>
  <c r="J398" i="1" s="1"/>
  <c r="F1334" i="1"/>
  <c r="I1334" i="1" s="1"/>
  <c r="H1334" i="1"/>
  <c r="K1334" i="1" s="1"/>
  <c r="G1334" i="1"/>
  <c r="J1334" i="1" s="1"/>
  <c r="F1258" i="1"/>
  <c r="I1258" i="1" s="1"/>
  <c r="H1258" i="1"/>
  <c r="K1258" i="1" s="1"/>
  <c r="G1258" i="1"/>
  <c r="J1258" i="1" s="1"/>
  <c r="F418" i="1"/>
  <c r="I418" i="1" s="1"/>
  <c r="H418" i="1"/>
  <c r="K418" i="1" s="1"/>
  <c r="G418" i="1"/>
  <c r="J418" i="1" s="1"/>
  <c r="F144" i="1"/>
  <c r="I144" i="1" s="1"/>
  <c r="H144" i="1"/>
  <c r="K144" i="1" s="1"/>
  <c r="G144" i="1"/>
  <c r="J144" i="1" s="1"/>
  <c r="F59" i="1"/>
  <c r="I59" i="1" s="1"/>
  <c r="H59" i="1"/>
  <c r="K59" i="1" s="1"/>
  <c r="G59" i="1"/>
  <c r="J59" i="1" s="1"/>
  <c r="F43" i="1"/>
  <c r="I43" i="1" s="1"/>
  <c r="H43" i="1"/>
  <c r="K43" i="1" s="1"/>
  <c r="G43" i="1"/>
  <c r="J43" i="1" s="1"/>
  <c r="F1415" i="1"/>
  <c r="I1415" i="1" s="1"/>
  <c r="H1415" i="1"/>
  <c r="K1415" i="1" s="1"/>
  <c r="G1415" i="1"/>
  <c r="J1415" i="1" s="1"/>
  <c r="F1270" i="1"/>
  <c r="I1270" i="1" s="1"/>
  <c r="H1270" i="1"/>
  <c r="K1270" i="1" s="1"/>
  <c r="G1270" i="1"/>
  <c r="J1270" i="1" s="1"/>
  <c r="F947" i="1"/>
  <c r="I947" i="1" s="1"/>
  <c r="H947" i="1"/>
  <c r="K947" i="1" s="1"/>
  <c r="G947" i="1"/>
  <c r="J947" i="1" s="1"/>
  <c r="F392" i="1"/>
  <c r="I392" i="1" s="1"/>
  <c r="H392" i="1"/>
  <c r="K392" i="1" s="1"/>
  <c r="G392" i="1"/>
  <c r="J392" i="1" s="1"/>
  <c r="F570" i="1"/>
  <c r="I570" i="1" s="1"/>
  <c r="G570" i="1"/>
  <c r="J570" i="1" s="1"/>
  <c r="H570" i="1"/>
  <c r="K570" i="1" s="1"/>
  <c r="F959" i="1"/>
  <c r="I959" i="1" s="1"/>
  <c r="H959" i="1"/>
  <c r="K959" i="1" s="1"/>
  <c r="G959" i="1"/>
  <c r="J959" i="1" s="1"/>
  <c r="F175" i="1"/>
  <c r="I175" i="1" s="1"/>
  <c r="H175" i="1"/>
  <c r="K175" i="1" s="1"/>
  <c r="G175" i="1"/>
  <c r="J175" i="1" s="1"/>
  <c r="F184" i="1"/>
  <c r="I184" i="1" s="1"/>
  <c r="H184" i="1"/>
  <c r="K184" i="1" s="1"/>
  <c r="G184" i="1"/>
  <c r="J184" i="1" s="1"/>
  <c r="F1427" i="1"/>
  <c r="I1427" i="1" s="1"/>
  <c r="H1427" i="1"/>
  <c r="K1427" i="1" s="1"/>
  <c r="G1427" i="1"/>
  <c r="J1427" i="1" s="1"/>
  <c r="F1123" i="1"/>
  <c r="I1123" i="1" s="1"/>
  <c r="H1123" i="1"/>
  <c r="K1123" i="1" s="1"/>
  <c r="G1123" i="1"/>
  <c r="J1123" i="1" s="1"/>
  <c r="F621" i="1"/>
  <c r="I621" i="1" s="1"/>
  <c r="H621" i="1"/>
  <c r="K621" i="1" s="1"/>
  <c r="G621" i="1"/>
  <c r="J621" i="1" s="1"/>
  <c r="F714" i="1"/>
  <c r="I714" i="1" s="1"/>
  <c r="H714" i="1"/>
  <c r="K714" i="1" s="1"/>
  <c r="G714" i="1"/>
  <c r="J714" i="1" s="1"/>
  <c r="F1096" i="1"/>
  <c r="I1096" i="1" s="1"/>
  <c r="H1096" i="1"/>
  <c r="K1096" i="1" s="1"/>
  <c r="G1096" i="1"/>
  <c r="J1096" i="1" s="1"/>
  <c r="F307" i="1"/>
  <c r="I307" i="1" s="1"/>
  <c r="H307" i="1"/>
  <c r="K307" i="1" s="1"/>
  <c r="G307" i="1"/>
  <c r="J307" i="1" s="1"/>
  <c r="F484" i="1"/>
  <c r="I484" i="1" s="1"/>
  <c r="G484" i="1"/>
  <c r="J484" i="1" s="1"/>
  <c r="H484" i="1"/>
  <c r="K484" i="1" s="1"/>
  <c r="F1572" i="1"/>
  <c r="I1572" i="1" s="1"/>
  <c r="G1572" i="1"/>
  <c r="J1572" i="1" s="1"/>
  <c r="H1572" i="1"/>
  <c r="K1572" i="1" s="1"/>
  <c r="F1281" i="1"/>
  <c r="I1281" i="1" s="1"/>
  <c r="G1281" i="1"/>
  <c r="J1281" i="1" s="1"/>
  <c r="H1281" i="1"/>
  <c r="K1281" i="1" s="1"/>
  <c r="F122" i="1"/>
  <c r="I122" i="1" s="1"/>
  <c r="G122" i="1"/>
  <c r="J122" i="1" s="1"/>
  <c r="H122" i="1"/>
  <c r="K122" i="1" s="1"/>
  <c r="F858" i="1"/>
  <c r="I858" i="1" s="1"/>
  <c r="G858" i="1"/>
  <c r="J858" i="1" s="1"/>
  <c r="H858" i="1"/>
  <c r="K858" i="1" s="1"/>
  <c r="F136" i="1"/>
  <c r="I136" i="1" s="1"/>
  <c r="G136" i="1"/>
  <c r="J136" i="1" s="1"/>
  <c r="H136" i="1"/>
  <c r="K136" i="1" s="1"/>
  <c r="F439" i="1"/>
  <c r="I439" i="1" s="1"/>
  <c r="G439" i="1"/>
  <c r="J439" i="1" s="1"/>
  <c r="H439" i="1"/>
  <c r="K439" i="1" s="1"/>
  <c r="F719" i="1"/>
  <c r="I719" i="1" s="1"/>
  <c r="H719" i="1"/>
  <c r="K719" i="1" s="1"/>
  <c r="G719" i="1"/>
  <c r="J719" i="1" s="1"/>
  <c r="F232" i="1"/>
  <c r="I232" i="1" s="1"/>
  <c r="H232" i="1"/>
  <c r="K232" i="1" s="1"/>
  <c r="G232" i="1"/>
  <c r="J232" i="1" s="1"/>
  <c r="F1438" i="1"/>
  <c r="I1438" i="1" s="1"/>
  <c r="H1438" i="1"/>
  <c r="K1438" i="1" s="1"/>
  <c r="G1438" i="1"/>
  <c r="J1438" i="1" s="1"/>
  <c r="F369" i="1"/>
  <c r="I369" i="1" s="1"/>
  <c r="H369" i="1"/>
  <c r="K369" i="1" s="1"/>
  <c r="G369" i="1"/>
  <c r="J369" i="1" s="1"/>
  <c r="F1002" i="1"/>
  <c r="I1002" i="1" s="1"/>
  <c r="H1002" i="1"/>
  <c r="K1002" i="1" s="1"/>
  <c r="G1002" i="1"/>
  <c r="J1002" i="1" s="1"/>
  <c r="F280" i="1"/>
  <c r="I280" i="1" s="1"/>
  <c r="H280" i="1"/>
  <c r="K280" i="1" s="1"/>
  <c r="G280" i="1"/>
  <c r="J280" i="1" s="1"/>
  <c r="F571" i="1"/>
  <c r="I571" i="1" s="1"/>
  <c r="H571" i="1"/>
  <c r="K571" i="1" s="1"/>
  <c r="G571" i="1"/>
  <c r="J571" i="1" s="1"/>
  <c r="F1271" i="1"/>
  <c r="I1271" i="1" s="1"/>
  <c r="H1271" i="1"/>
  <c r="K1271" i="1" s="1"/>
  <c r="G1271" i="1"/>
  <c r="J1271" i="1" s="1"/>
  <c r="F1593" i="1"/>
  <c r="I1593" i="1" s="1"/>
  <c r="H1593" i="1"/>
  <c r="K1593" i="1" s="1"/>
  <c r="G1593" i="1"/>
  <c r="J1593" i="1" s="1"/>
  <c r="F1257" i="1"/>
  <c r="I1257" i="1" s="1"/>
  <c r="H1257" i="1"/>
  <c r="K1257" i="1" s="1"/>
  <c r="G1257" i="1"/>
  <c r="J1257" i="1" s="1"/>
  <c r="F90" i="1"/>
  <c r="I90" i="1" s="1"/>
  <c r="G90" i="1"/>
  <c r="J90" i="1" s="1"/>
  <c r="H90" i="1"/>
  <c r="K90" i="1" s="1"/>
  <c r="F1529" i="1"/>
  <c r="I1529" i="1" s="1"/>
  <c r="H1529" i="1"/>
  <c r="K1529" i="1" s="1"/>
  <c r="G1529" i="1"/>
  <c r="J1529" i="1" s="1"/>
  <c r="F479" i="1"/>
  <c r="I479" i="1" s="1"/>
  <c r="H479" i="1"/>
  <c r="K479" i="1" s="1"/>
  <c r="G479" i="1"/>
  <c r="J479" i="1" s="1"/>
  <c r="F1335" i="1"/>
  <c r="I1335" i="1" s="1"/>
  <c r="G1335" i="1"/>
  <c r="J1335" i="1" s="1"/>
  <c r="H1335" i="1"/>
  <c r="K1335" i="1" s="1"/>
  <c r="F650" i="1"/>
  <c r="I650" i="1" s="1"/>
  <c r="G650" i="1"/>
  <c r="J650" i="1" s="1"/>
  <c r="H650" i="1"/>
  <c r="K650" i="1" s="1"/>
  <c r="F1173" i="1"/>
  <c r="I1173" i="1" s="1"/>
  <c r="H1173" i="1"/>
  <c r="K1173" i="1" s="1"/>
  <c r="G1173" i="1"/>
  <c r="J1173" i="1" s="1"/>
  <c r="F737" i="1"/>
  <c r="I737" i="1" s="1"/>
  <c r="H737" i="1"/>
  <c r="K737" i="1" s="1"/>
  <c r="G737" i="1"/>
  <c r="J737" i="1" s="1"/>
  <c r="F1039" i="1"/>
  <c r="I1039" i="1" s="1"/>
  <c r="H1039" i="1"/>
  <c r="K1039" i="1" s="1"/>
  <c r="G1039" i="1"/>
  <c r="J1039" i="1" s="1"/>
  <c r="F997" i="1"/>
  <c r="I997" i="1" s="1"/>
  <c r="H997" i="1"/>
  <c r="K997" i="1" s="1"/>
  <c r="G997" i="1"/>
  <c r="J997" i="1" s="1"/>
  <c r="F112" i="1"/>
  <c r="I112" i="1" s="1"/>
  <c r="H112" i="1"/>
  <c r="K112" i="1" s="1"/>
  <c r="G112" i="1"/>
  <c r="J112" i="1" s="1"/>
  <c r="F316" i="1"/>
  <c r="I316" i="1" s="1"/>
  <c r="H316" i="1"/>
  <c r="K316" i="1" s="1"/>
  <c r="G316" i="1"/>
  <c r="J316" i="1" s="1"/>
  <c r="F1091" i="1"/>
  <c r="I1091" i="1" s="1"/>
  <c r="H1091" i="1"/>
  <c r="K1091" i="1" s="1"/>
  <c r="G1091" i="1"/>
  <c r="J1091" i="1" s="1"/>
  <c r="F648" i="1"/>
  <c r="I648" i="1" s="1"/>
  <c r="H648" i="1"/>
  <c r="K648" i="1" s="1"/>
  <c r="G648" i="1"/>
  <c r="J648" i="1" s="1"/>
  <c r="F128" i="1"/>
  <c r="I128" i="1" s="1"/>
  <c r="H128" i="1"/>
  <c r="K128" i="1" s="1"/>
  <c r="G128" i="1"/>
  <c r="J128" i="1" s="1"/>
  <c r="F1548" i="1"/>
  <c r="I1548" i="1" s="1"/>
  <c r="H1548" i="1"/>
  <c r="K1548" i="1" s="1"/>
  <c r="G1548" i="1"/>
  <c r="J1548" i="1" s="1"/>
  <c r="F877" i="1"/>
  <c r="I877" i="1" s="1"/>
  <c r="H877" i="1"/>
  <c r="K877" i="1" s="1"/>
  <c r="G877" i="1"/>
  <c r="J877" i="1" s="1"/>
  <c r="F1059" i="1"/>
  <c r="I1059" i="1" s="1"/>
  <c r="H1059" i="1"/>
  <c r="K1059" i="1" s="1"/>
  <c r="G1059" i="1"/>
  <c r="J1059" i="1" s="1"/>
  <c r="F710" i="1"/>
  <c r="I710" i="1" s="1"/>
  <c r="H710" i="1"/>
  <c r="K710" i="1" s="1"/>
  <c r="G710" i="1"/>
  <c r="J710" i="1" s="1"/>
  <c r="F1029" i="1"/>
  <c r="I1029" i="1" s="1"/>
  <c r="H1029" i="1"/>
  <c r="K1029" i="1" s="1"/>
  <c r="G1029" i="1"/>
  <c r="J1029" i="1" s="1"/>
  <c r="F1221" i="1"/>
  <c r="I1221" i="1" s="1"/>
  <c r="H1221" i="1"/>
  <c r="K1221" i="1" s="1"/>
  <c r="G1221" i="1"/>
  <c r="J1221" i="1" s="1"/>
  <c r="F1226" i="1"/>
  <c r="I1226" i="1" s="1"/>
  <c r="H1226" i="1"/>
  <c r="K1226" i="1" s="1"/>
  <c r="G1226" i="1"/>
  <c r="J1226" i="1" s="1"/>
  <c r="F227" i="1"/>
  <c r="I227" i="1" s="1"/>
  <c r="H227" i="1"/>
  <c r="K227" i="1" s="1"/>
  <c r="G227" i="1"/>
  <c r="J227" i="1" s="1"/>
  <c r="F1424" i="1"/>
  <c r="I1424" i="1" s="1"/>
  <c r="H1424" i="1"/>
  <c r="K1424" i="1" s="1"/>
  <c r="G1424" i="1"/>
  <c r="J1424" i="1" s="1"/>
  <c r="F992" i="1"/>
  <c r="I992" i="1" s="1"/>
  <c r="H992" i="1"/>
  <c r="K992" i="1" s="1"/>
  <c r="G992" i="1"/>
  <c r="J992" i="1" s="1"/>
  <c r="F74" i="1"/>
  <c r="I74" i="1" s="1"/>
  <c r="G74" i="1"/>
  <c r="J74" i="1" s="1"/>
  <c r="H74" i="1"/>
  <c r="K74" i="1" s="1"/>
  <c r="F1490" i="1"/>
  <c r="I1490" i="1" s="1"/>
  <c r="H1490" i="1"/>
  <c r="K1490" i="1" s="1"/>
  <c r="G1490" i="1"/>
  <c r="J1490" i="1" s="1"/>
  <c r="F425" i="1"/>
  <c r="I425" i="1" s="1"/>
  <c r="H425" i="1"/>
  <c r="K425" i="1" s="1"/>
  <c r="G425" i="1"/>
  <c r="J425" i="1" s="1"/>
  <c r="F1468" i="1"/>
  <c r="I1468" i="1" s="1"/>
  <c r="H1468" i="1"/>
  <c r="K1468" i="1" s="1"/>
  <c r="G1468" i="1"/>
  <c r="J1468" i="1" s="1"/>
  <c r="F1534" i="1"/>
  <c r="I1534" i="1" s="1"/>
  <c r="H1534" i="1"/>
  <c r="K1534" i="1" s="1"/>
  <c r="G1534" i="1"/>
  <c r="J1534" i="1" s="1"/>
  <c r="F1302" i="1"/>
  <c r="I1302" i="1" s="1"/>
  <c r="H1302" i="1"/>
  <c r="K1302" i="1" s="1"/>
  <c r="G1302" i="1"/>
  <c r="J1302" i="1" s="1"/>
  <c r="F285" i="1"/>
  <c r="I285" i="1" s="1"/>
  <c r="H285" i="1"/>
  <c r="K285" i="1" s="1"/>
  <c r="G285" i="1"/>
  <c r="J285" i="1" s="1"/>
  <c r="F251" i="1"/>
  <c r="I251" i="1" s="1"/>
  <c r="H251" i="1"/>
  <c r="K251" i="1" s="1"/>
  <c r="G251" i="1"/>
  <c r="J251" i="1" s="1"/>
  <c r="F1474" i="1"/>
  <c r="I1474" i="1" s="1"/>
  <c r="H1474" i="1"/>
  <c r="K1474" i="1" s="1"/>
  <c r="G1474" i="1"/>
  <c r="J1474" i="1" s="1"/>
  <c r="F565" i="1"/>
  <c r="I565" i="1" s="1"/>
  <c r="H565" i="1"/>
  <c r="K565" i="1" s="1"/>
  <c r="G565" i="1"/>
  <c r="J565" i="1" s="1"/>
  <c r="F736" i="1"/>
  <c r="I736" i="1" s="1"/>
  <c r="H736" i="1"/>
  <c r="K736" i="1" s="1"/>
  <c r="G736" i="1"/>
  <c r="J736" i="1" s="1"/>
  <c r="F979" i="1"/>
  <c r="I979" i="1" s="1"/>
  <c r="H979" i="1"/>
  <c r="K979" i="1" s="1"/>
  <c r="G979" i="1"/>
  <c r="J979" i="1" s="1"/>
  <c r="F1185" i="1"/>
  <c r="I1185" i="1" s="1"/>
  <c r="H1185" i="1"/>
  <c r="K1185" i="1" s="1"/>
  <c r="G1185" i="1"/>
  <c r="J1185" i="1" s="1"/>
  <c r="F1272" i="1"/>
  <c r="I1272" i="1" s="1"/>
  <c r="H1272" i="1"/>
  <c r="K1272" i="1" s="1"/>
  <c r="G1272" i="1"/>
  <c r="J1272" i="1" s="1"/>
  <c r="F1088" i="1"/>
  <c r="I1088" i="1" s="1"/>
  <c r="H1088" i="1"/>
  <c r="K1088" i="1" s="1"/>
  <c r="G1088" i="1"/>
  <c r="J1088" i="1" s="1"/>
  <c r="F1238" i="1"/>
  <c r="I1238" i="1" s="1"/>
  <c r="H1238" i="1"/>
  <c r="K1238" i="1" s="1"/>
  <c r="G1238" i="1"/>
  <c r="J1238" i="1" s="1"/>
  <c r="F1443" i="1"/>
  <c r="I1443" i="1" s="1"/>
  <c r="H1443" i="1"/>
  <c r="K1443" i="1" s="1"/>
  <c r="G1443" i="1"/>
  <c r="J1443" i="1" s="1"/>
  <c r="F343" i="1"/>
  <c r="I343" i="1" s="1"/>
  <c r="H343" i="1"/>
  <c r="K343" i="1" s="1"/>
  <c r="G343" i="1"/>
  <c r="J343" i="1" s="1"/>
  <c r="F524" i="1"/>
  <c r="I524" i="1" s="1"/>
  <c r="G524" i="1"/>
  <c r="J524" i="1" s="1"/>
  <c r="H524" i="1"/>
  <c r="K524" i="1" s="1"/>
  <c r="F260" i="1"/>
  <c r="I260" i="1" s="1"/>
  <c r="H260" i="1"/>
  <c r="K260" i="1" s="1"/>
  <c r="G260" i="1"/>
  <c r="J260" i="1" s="1"/>
  <c r="F590" i="1"/>
  <c r="I590" i="1" s="1"/>
  <c r="H590" i="1"/>
  <c r="K590" i="1" s="1"/>
  <c r="G590" i="1"/>
  <c r="J590" i="1" s="1"/>
  <c r="F553" i="1"/>
  <c r="I553" i="1" s="1"/>
  <c r="H553" i="1"/>
  <c r="K553" i="1" s="1"/>
  <c r="G553" i="1"/>
  <c r="J553" i="1" s="1"/>
  <c r="F1022" i="1"/>
  <c r="I1022" i="1" s="1"/>
  <c r="H1022" i="1"/>
  <c r="K1022" i="1" s="1"/>
  <c r="G1022" i="1"/>
  <c r="J1022" i="1" s="1"/>
  <c r="F1027" i="1"/>
  <c r="I1027" i="1" s="1"/>
  <c r="H1027" i="1"/>
  <c r="K1027" i="1" s="1"/>
  <c r="G1027" i="1"/>
  <c r="J1027" i="1" s="1"/>
  <c r="F1407" i="1"/>
  <c r="I1407" i="1" s="1"/>
  <c r="H1407" i="1"/>
  <c r="K1407" i="1" s="1"/>
  <c r="G1407" i="1"/>
  <c r="J1407" i="1" s="1"/>
  <c r="F1262" i="1"/>
  <c r="I1262" i="1" s="1"/>
  <c r="H1262" i="1"/>
  <c r="K1262" i="1" s="1"/>
  <c r="G1262" i="1"/>
  <c r="J1262" i="1" s="1"/>
  <c r="F219" i="1"/>
  <c r="I219" i="1" s="1"/>
  <c r="H219" i="1"/>
  <c r="K219" i="1" s="1"/>
  <c r="G219" i="1"/>
  <c r="J219" i="1" s="1"/>
  <c r="F114" i="1"/>
  <c r="I114" i="1" s="1"/>
  <c r="H114" i="1"/>
  <c r="K114" i="1" s="1"/>
  <c r="G114" i="1"/>
  <c r="J114" i="1" s="1"/>
  <c r="F812" i="1"/>
  <c r="I812" i="1" s="1"/>
  <c r="H812" i="1"/>
  <c r="K812" i="1" s="1"/>
  <c r="G812" i="1"/>
  <c r="J812" i="1" s="1"/>
  <c r="F596" i="1"/>
  <c r="I596" i="1" s="1"/>
  <c r="H596" i="1"/>
  <c r="K596" i="1" s="1"/>
  <c r="G596" i="1"/>
  <c r="J596" i="1" s="1"/>
  <c r="F923" i="1"/>
  <c r="I923" i="1" s="1"/>
  <c r="H923" i="1"/>
  <c r="K923" i="1" s="1"/>
  <c r="G923" i="1"/>
  <c r="J923" i="1" s="1"/>
  <c r="F1183" i="1"/>
  <c r="I1183" i="1" s="1"/>
  <c r="H1183" i="1"/>
  <c r="K1183" i="1" s="1"/>
  <c r="G1183" i="1"/>
  <c r="J1183" i="1" s="1"/>
  <c r="F1431" i="1"/>
  <c r="I1431" i="1" s="1"/>
  <c r="G1431" i="1"/>
  <c r="J1431" i="1" s="1"/>
  <c r="H1431" i="1"/>
  <c r="K1431" i="1" s="1"/>
  <c r="F1346" i="1"/>
  <c r="I1346" i="1" s="1"/>
  <c r="G1346" i="1"/>
  <c r="J1346" i="1" s="1"/>
  <c r="H1346" i="1"/>
  <c r="K1346" i="1" s="1"/>
  <c r="F333" i="1"/>
  <c r="I333" i="1" s="1"/>
  <c r="H333" i="1"/>
  <c r="K333" i="1" s="1"/>
  <c r="G333" i="1"/>
  <c r="J333" i="1" s="1"/>
  <c r="F994" i="1"/>
  <c r="I994" i="1" s="1"/>
  <c r="H994" i="1"/>
  <c r="K994" i="1" s="1"/>
  <c r="G994" i="1"/>
  <c r="J994" i="1" s="1"/>
  <c r="F1089" i="1"/>
  <c r="I1089" i="1" s="1"/>
  <c r="H1089" i="1"/>
  <c r="K1089" i="1" s="1"/>
  <c r="G1089" i="1"/>
  <c r="J1089" i="1" s="1"/>
  <c r="F430" i="1"/>
  <c r="I430" i="1" s="1"/>
  <c r="H430" i="1"/>
  <c r="K430" i="1" s="1"/>
  <c r="G430" i="1"/>
  <c r="J430" i="1" s="1"/>
  <c r="F692" i="1"/>
  <c r="I692" i="1" s="1"/>
  <c r="H692" i="1"/>
  <c r="K692" i="1" s="1"/>
  <c r="G692" i="1"/>
  <c r="J692" i="1" s="1"/>
  <c r="F768" i="1"/>
  <c r="I768" i="1" s="1"/>
  <c r="H768" i="1"/>
  <c r="K768" i="1" s="1"/>
  <c r="G768" i="1"/>
  <c r="J768" i="1" s="1"/>
  <c r="F886" i="1"/>
  <c r="I886" i="1" s="1"/>
  <c r="H886" i="1"/>
  <c r="K886" i="1" s="1"/>
  <c r="G886" i="1"/>
  <c r="J886" i="1" s="1"/>
  <c r="F666" i="1"/>
  <c r="I666" i="1" s="1"/>
  <c r="H666" i="1"/>
  <c r="K666" i="1" s="1"/>
  <c r="G666" i="1"/>
  <c r="J666" i="1" s="1"/>
  <c r="F680" i="1"/>
  <c r="I680" i="1" s="1"/>
  <c r="H680" i="1"/>
  <c r="K680" i="1" s="1"/>
  <c r="G680" i="1"/>
  <c r="J680" i="1" s="1"/>
  <c r="F1289" i="1"/>
  <c r="I1289" i="1" s="1"/>
  <c r="H1289" i="1"/>
  <c r="K1289" i="1" s="1"/>
  <c r="G1289" i="1"/>
  <c r="J1289" i="1" s="1"/>
  <c r="F1367" i="1"/>
  <c r="I1367" i="1" s="1"/>
  <c r="H1367" i="1"/>
  <c r="K1367" i="1" s="1"/>
  <c r="G1367" i="1"/>
  <c r="J1367" i="1" s="1"/>
  <c r="F965" i="1"/>
  <c r="I965" i="1" s="1"/>
  <c r="H965" i="1"/>
  <c r="K965" i="1" s="1"/>
  <c r="G965" i="1"/>
  <c r="J965" i="1" s="1"/>
  <c r="F1465" i="1"/>
  <c r="I1465" i="1" s="1"/>
  <c r="H1465" i="1"/>
  <c r="K1465" i="1" s="1"/>
  <c r="G1465" i="1"/>
  <c r="J1465" i="1" s="1"/>
  <c r="F1174" i="1"/>
  <c r="I1174" i="1" s="1"/>
  <c r="H1174" i="1"/>
  <c r="K1174" i="1" s="1"/>
  <c r="G1174" i="1"/>
  <c r="J1174" i="1" s="1"/>
  <c r="F1212" i="1"/>
  <c r="I1212" i="1" s="1"/>
  <c r="H1212" i="1"/>
  <c r="K1212" i="1" s="1"/>
  <c r="G1212" i="1"/>
  <c r="J1212" i="1" s="1"/>
  <c r="F1476" i="1"/>
  <c r="I1476" i="1" s="1"/>
  <c r="H1476" i="1"/>
  <c r="K1476" i="1" s="1"/>
  <c r="G1476" i="1"/>
  <c r="J1476" i="1" s="1"/>
  <c r="F1169" i="1"/>
  <c r="I1169" i="1" s="1"/>
  <c r="H1169" i="1"/>
  <c r="K1169" i="1" s="1"/>
  <c r="G1169" i="1"/>
  <c r="J1169" i="1" s="1"/>
  <c r="F846" i="1"/>
  <c r="I846" i="1" s="1"/>
  <c r="H846" i="1"/>
  <c r="K846" i="1" s="1"/>
  <c r="G846" i="1"/>
  <c r="J846" i="1" s="1"/>
  <c r="F722" i="1"/>
  <c r="I722" i="1" s="1"/>
  <c r="H722" i="1"/>
  <c r="K722" i="1" s="1"/>
  <c r="G722" i="1"/>
  <c r="J722" i="1" s="1"/>
  <c r="F341" i="1"/>
  <c r="I341" i="1" s="1"/>
  <c r="H341" i="1"/>
  <c r="K341" i="1" s="1"/>
  <c r="G341" i="1"/>
  <c r="J341" i="1" s="1"/>
  <c r="F687" i="1"/>
  <c r="I687" i="1" s="1"/>
  <c r="H687" i="1"/>
  <c r="K687" i="1" s="1"/>
  <c r="G687" i="1"/>
  <c r="J687" i="1" s="1"/>
  <c r="F1444" i="1"/>
  <c r="I1444" i="1" s="1"/>
  <c r="H1444" i="1"/>
  <c r="K1444" i="1" s="1"/>
  <c r="G1444" i="1"/>
  <c r="J1444" i="1" s="1"/>
  <c r="F412" i="1"/>
  <c r="I412" i="1" s="1"/>
  <c r="H412" i="1"/>
  <c r="K412" i="1" s="1"/>
  <c r="G412" i="1"/>
  <c r="J412" i="1" s="1"/>
  <c r="F672" i="1"/>
  <c r="I672" i="1" s="1"/>
  <c r="H672" i="1"/>
  <c r="K672" i="1" s="1"/>
  <c r="G672" i="1"/>
  <c r="J672" i="1" s="1"/>
  <c r="F359" i="1"/>
  <c r="I359" i="1" s="1"/>
  <c r="H359" i="1"/>
  <c r="K359" i="1" s="1"/>
  <c r="G359" i="1"/>
  <c r="J359" i="1" s="1"/>
  <c r="F432" i="1"/>
  <c r="I432" i="1" s="1"/>
  <c r="H432" i="1"/>
  <c r="K432" i="1" s="1"/>
  <c r="G432" i="1"/>
  <c r="J432" i="1" s="1"/>
  <c r="F1494" i="1"/>
  <c r="I1494" i="1" s="1"/>
  <c r="G1494" i="1"/>
  <c r="J1494" i="1" s="1"/>
  <c r="H1494" i="1"/>
  <c r="K1494" i="1" s="1"/>
  <c r="F1298" i="1"/>
  <c r="I1298" i="1" s="1"/>
  <c r="H1298" i="1"/>
  <c r="K1298" i="1" s="1"/>
  <c r="G1298" i="1"/>
  <c r="J1298" i="1" s="1"/>
  <c r="F24" i="1"/>
  <c r="I24" i="1" s="1"/>
  <c r="H24" i="1"/>
  <c r="K24" i="1" s="1"/>
  <c r="G24" i="1"/>
  <c r="J24" i="1" s="1"/>
  <c r="F1286" i="1"/>
  <c r="I1286" i="1" s="1"/>
  <c r="H1286" i="1"/>
  <c r="K1286" i="1" s="1"/>
  <c r="G1286" i="1"/>
  <c r="J1286" i="1" s="1"/>
  <c r="F1163" i="1"/>
  <c r="I1163" i="1" s="1"/>
  <c r="G1163" i="1"/>
  <c r="J1163" i="1" s="1"/>
  <c r="H1163" i="1"/>
  <c r="K1163" i="1" s="1"/>
  <c r="F1087" i="1"/>
  <c r="I1087" i="1" s="1"/>
  <c r="H1087" i="1"/>
  <c r="K1087" i="1" s="1"/>
  <c r="G1087" i="1"/>
  <c r="J1087" i="1" s="1"/>
  <c r="F155" i="1"/>
  <c r="I155" i="1" s="1"/>
  <c r="H155" i="1"/>
  <c r="K155" i="1" s="1"/>
  <c r="G155" i="1"/>
  <c r="J155" i="1" s="1"/>
  <c r="F1461" i="1"/>
  <c r="I1461" i="1" s="1"/>
  <c r="H1461" i="1"/>
  <c r="K1461" i="1" s="1"/>
  <c r="G1461" i="1"/>
  <c r="J1461" i="1" s="1"/>
  <c r="F1102" i="1"/>
  <c r="I1102" i="1" s="1"/>
  <c r="H1102" i="1"/>
  <c r="K1102" i="1" s="1"/>
  <c r="G1102" i="1"/>
  <c r="J1102" i="1" s="1"/>
  <c r="F1114" i="1"/>
  <c r="I1114" i="1" s="1"/>
  <c r="H1114" i="1"/>
  <c r="K1114" i="1" s="1"/>
  <c r="G1114" i="1"/>
  <c r="J1114" i="1" s="1"/>
  <c r="F698" i="1"/>
  <c r="I698" i="1" s="1"/>
  <c r="H698" i="1"/>
  <c r="K698" i="1" s="1"/>
  <c r="G698" i="1"/>
  <c r="J698" i="1" s="1"/>
  <c r="F515" i="1"/>
  <c r="I515" i="1" s="1"/>
  <c r="H515" i="1"/>
  <c r="K515" i="1" s="1"/>
  <c r="G515" i="1"/>
  <c r="J515" i="1" s="1"/>
  <c r="F551" i="1"/>
  <c r="I551" i="1" s="1"/>
  <c r="G551" i="1"/>
  <c r="J551" i="1" s="1"/>
  <c r="H551" i="1"/>
  <c r="K551" i="1" s="1"/>
  <c r="F1501" i="1"/>
  <c r="I1501" i="1" s="1"/>
  <c r="H1501" i="1"/>
  <c r="K1501" i="1" s="1"/>
  <c r="G1501" i="1"/>
  <c r="J1501" i="1" s="1"/>
  <c r="F897" i="1"/>
  <c r="I897" i="1" s="1"/>
  <c r="H897" i="1"/>
  <c r="K897" i="1" s="1"/>
  <c r="G897" i="1"/>
  <c r="J897" i="1" s="1"/>
  <c r="F1495" i="1"/>
  <c r="I1495" i="1" s="1"/>
  <c r="H1495" i="1"/>
  <c r="K1495" i="1" s="1"/>
  <c r="G1495" i="1"/>
  <c r="J1495" i="1" s="1"/>
  <c r="F1009" i="1"/>
  <c r="I1009" i="1" s="1"/>
  <c r="H1009" i="1"/>
  <c r="K1009" i="1" s="1"/>
  <c r="G1009" i="1"/>
  <c r="J1009" i="1" s="1"/>
  <c r="F1508" i="1"/>
  <c r="I1508" i="1" s="1"/>
  <c r="H1508" i="1"/>
  <c r="K1508" i="1" s="1"/>
  <c r="G1508" i="1"/>
  <c r="J1508" i="1" s="1"/>
  <c r="F784" i="1"/>
  <c r="I784" i="1" s="1"/>
  <c r="H784" i="1"/>
  <c r="K784" i="1" s="1"/>
  <c r="G784" i="1"/>
  <c r="J784" i="1" s="1"/>
  <c r="F704" i="1"/>
  <c r="I704" i="1" s="1"/>
  <c r="H704" i="1"/>
  <c r="K704" i="1" s="1"/>
  <c r="G704" i="1"/>
  <c r="J704" i="1" s="1"/>
  <c r="F1078" i="1"/>
  <c r="I1078" i="1" s="1"/>
  <c r="H1078" i="1"/>
  <c r="K1078" i="1" s="1"/>
  <c r="G1078" i="1"/>
  <c r="J1078" i="1" s="1"/>
  <c r="F783" i="1"/>
  <c r="I783" i="1" s="1"/>
  <c r="G783" i="1"/>
  <c r="J783" i="1" s="1"/>
  <c r="H783" i="1"/>
  <c r="K783" i="1" s="1"/>
  <c r="F282" i="1"/>
  <c r="I282" i="1" s="1"/>
  <c r="H282" i="1"/>
  <c r="K282" i="1" s="1"/>
  <c r="G282" i="1"/>
  <c r="J282" i="1" s="1"/>
  <c r="F561" i="1"/>
  <c r="I561" i="1" s="1"/>
  <c r="H561" i="1"/>
  <c r="K561" i="1" s="1"/>
  <c r="G561" i="1"/>
  <c r="J561" i="1" s="1"/>
  <c r="F664" i="1"/>
  <c r="I664" i="1" s="1"/>
  <c r="H664" i="1"/>
  <c r="K664" i="1" s="1"/>
  <c r="G664" i="1"/>
  <c r="J664" i="1" s="1"/>
  <c r="F1055" i="1"/>
  <c r="I1055" i="1" s="1"/>
  <c r="H1055" i="1"/>
  <c r="K1055" i="1" s="1"/>
  <c r="G1055" i="1"/>
  <c r="J1055" i="1" s="1"/>
  <c r="F500" i="1"/>
  <c r="I500" i="1" s="1"/>
  <c r="H500" i="1"/>
  <c r="K500" i="1" s="1"/>
  <c r="G500" i="1"/>
  <c r="J500" i="1" s="1"/>
  <c r="F269" i="1"/>
  <c r="I269" i="1" s="1"/>
  <c r="H269" i="1"/>
  <c r="K269" i="1" s="1"/>
  <c r="G269" i="1"/>
  <c r="J269" i="1" s="1"/>
  <c r="F75" i="1"/>
  <c r="I75" i="1" s="1"/>
  <c r="H75" i="1"/>
  <c r="K75" i="1" s="1"/>
  <c r="G75" i="1"/>
  <c r="J75" i="1" s="1"/>
  <c r="F1557" i="1"/>
  <c r="I1557" i="1" s="1"/>
  <c r="H1557" i="1"/>
  <c r="K1557" i="1" s="1"/>
  <c r="G1557" i="1"/>
  <c r="J1557" i="1" s="1"/>
  <c r="F27" i="1"/>
  <c r="I27" i="1" s="1"/>
  <c r="H27" i="1"/>
  <c r="K27" i="1" s="1"/>
  <c r="G27" i="1"/>
  <c r="J27" i="1" s="1"/>
  <c r="F676" i="1"/>
  <c r="I676" i="1" s="1"/>
  <c r="H676" i="1"/>
  <c r="K676" i="1" s="1"/>
  <c r="G676" i="1"/>
  <c r="J676" i="1" s="1"/>
  <c r="F124" i="1"/>
  <c r="I124" i="1" s="1"/>
  <c r="H124" i="1"/>
  <c r="K124" i="1" s="1"/>
  <c r="G124" i="1"/>
  <c r="J124" i="1" s="1"/>
  <c r="F1223" i="1"/>
  <c r="I1223" i="1" s="1"/>
  <c r="H1223" i="1"/>
  <c r="K1223" i="1" s="1"/>
  <c r="G1223" i="1"/>
  <c r="J1223" i="1" s="1"/>
  <c r="F980" i="1"/>
  <c r="I980" i="1" s="1"/>
  <c r="H980" i="1"/>
  <c r="K980" i="1" s="1"/>
  <c r="G980" i="1"/>
  <c r="J980" i="1" s="1"/>
  <c r="F974" i="1"/>
  <c r="I974" i="1" s="1"/>
  <c r="H974" i="1"/>
  <c r="K974" i="1" s="1"/>
  <c r="G974" i="1"/>
  <c r="J974" i="1" s="1"/>
  <c r="F253" i="1"/>
  <c r="I253" i="1" s="1"/>
  <c r="G253" i="1"/>
  <c r="J253" i="1" s="1"/>
  <c r="H253" i="1"/>
  <c r="K253" i="1" s="1"/>
  <c r="F501" i="1"/>
  <c r="I501" i="1" s="1"/>
  <c r="H501" i="1"/>
  <c r="K501" i="1" s="1"/>
  <c r="G501" i="1"/>
  <c r="J501" i="1" s="1"/>
  <c r="F1070" i="1"/>
  <c r="I1070" i="1" s="1"/>
  <c r="G1070" i="1"/>
  <c r="J1070" i="1" s="1"/>
  <c r="H1070" i="1"/>
  <c r="K1070" i="1" s="1"/>
  <c r="F485" i="1"/>
  <c r="I485" i="1" s="1"/>
  <c r="H485" i="1"/>
  <c r="K485" i="1" s="1"/>
  <c r="G485" i="1"/>
  <c r="J485" i="1" s="1"/>
  <c r="F945" i="1"/>
  <c r="I945" i="1" s="1"/>
  <c r="H945" i="1"/>
  <c r="K945" i="1" s="1"/>
  <c r="G945" i="1"/>
  <c r="J945" i="1" s="1"/>
  <c r="F421" i="1"/>
  <c r="I421" i="1" s="1"/>
  <c r="H421" i="1"/>
  <c r="K421" i="1" s="1"/>
  <c r="G421" i="1"/>
  <c r="J421" i="1" s="1"/>
  <c r="F8" i="1"/>
  <c r="I8" i="1" s="1"/>
  <c r="H8" i="1"/>
  <c r="K8" i="1" s="1"/>
  <c r="G8" i="1"/>
  <c r="J8" i="1" s="1"/>
  <c r="F1591" i="1"/>
  <c r="I1591" i="1" s="1"/>
  <c r="H1591" i="1"/>
  <c r="K1591" i="1" s="1"/>
  <c r="G1591" i="1"/>
  <c r="J1591" i="1" s="1"/>
  <c r="F1083" i="1"/>
  <c r="I1083" i="1" s="1"/>
  <c r="H1083" i="1"/>
  <c r="K1083" i="1" s="1"/>
  <c r="G1083" i="1"/>
  <c r="J1083" i="1" s="1"/>
  <c r="F380" i="1"/>
  <c r="I380" i="1" s="1"/>
  <c r="G380" i="1"/>
  <c r="J380" i="1" s="1"/>
  <c r="H380" i="1"/>
  <c r="K380" i="1" s="1"/>
  <c r="F705" i="1"/>
  <c r="I705" i="1" s="1"/>
  <c r="H705" i="1"/>
  <c r="K705" i="1" s="1"/>
  <c r="G705" i="1"/>
  <c r="J705" i="1" s="1"/>
  <c r="F766" i="1"/>
  <c r="I766" i="1" s="1"/>
  <c r="H766" i="1"/>
  <c r="K766" i="1" s="1"/>
  <c r="G766" i="1"/>
  <c r="J766" i="1" s="1"/>
  <c r="F952" i="1"/>
  <c r="I952" i="1" s="1"/>
  <c r="H952" i="1"/>
  <c r="K952" i="1" s="1"/>
  <c r="G952" i="1"/>
  <c r="J952" i="1" s="1"/>
  <c r="F241" i="1"/>
  <c r="I241" i="1" s="1"/>
  <c r="H241" i="1"/>
  <c r="K241" i="1" s="1"/>
  <c r="G241" i="1"/>
  <c r="J241" i="1" s="1"/>
  <c r="F807" i="1"/>
  <c r="I807" i="1" s="1"/>
  <c r="H807" i="1"/>
  <c r="K807" i="1" s="1"/>
  <c r="G807" i="1"/>
  <c r="J807" i="1" s="1"/>
  <c r="F457" i="1"/>
  <c r="I457" i="1" s="1"/>
  <c r="H457" i="1"/>
  <c r="K457" i="1" s="1"/>
  <c r="G457" i="1"/>
  <c r="J457" i="1" s="1"/>
  <c r="F198" i="1"/>
  <c r="I198" i="1" s="1"/>
  <c r="H198" i="1"/>
  <c r="K198" i="1" s="1"/>
  <c r="G198" i="1"/>
  <c r="J198" i="1" s="1"/>
  <c r="F793" i="1"/>
  <c r="I793" i="1" s="1"/>
  <c r="G793" i="1"/>
  <c r="J793" i="1" s="1"/>
  <c r="H793" i="1"/>
  <c r="K793" i="1" s="1"/>
  <c r="F1458" i="1"/>
  <c r="I1458" i="1" s="1"/>
  <c r="H1458" i="1"/>
  <c r="K1458" i="1" s="1"/>
  <c r="G1458" i="1"/>
  <c r="J1458" i="1" s="1"/>
  <c r="F1291" i="1"/>
  <c r="I1291" i="1" s="1"/>
  <c r="G1291" i="1"/>
  <c r="J1291" i="1" s="1"/>
  <c r="H1291" i="1"/>
  <c r="K1291" i="1" s="1"/>
  <c r="F420" i="1"/>
  <c r="I420" i="1" s="1"/>
  <c r="H420" i="1"/>
  <c r="K420" i="1" s="1"/>
  <c r="G420" i="1"/>
  <c r="J420" i="1" s="1"/>
  <c r="F482" i="1"/>
  <c r="I482" i="1" s="1"/>
  <c r="H482" i="1"/>
  <c r="K482" i="1" s="1"/>
  <c r="G482" i="1"/>
  <c r="J482" i="1" s="1"/>
  <c r="F540" i="1"/>
  <c r="I540" i="1" s="1"/>
  <c r="G540" i="1"/>
  <c r="J540" i="1" s="1"/>
  <c r="H540" i="1"/>
  <c r="K540" i="1" s="1"/>
  <c r="F829" i="1"/>
  <c r="I829" i="1" s="1"/>
  <c r="H829" i="1"/>
  <c r="K829" i="1" s="1"/>
  <c r="G829" i="1"/>
  <c r="J829" i="1" s="1"/>
  <c r="F194" i="1"/>
  <c r="I194" i="1" s="1"/>
  <c r="H194" i="1"/>
  <c r="K194" i="1" s="1"/>
  <c r="G194" i="1"/>
  <c r="J194" i="1" s="1"/>
  <c r="F1020" i="1"/>
  <c r="I1020" i="1" s="1"/>
  <c r="G1020" i="1"/>
  <c r="J1020" i="1" s="1"/>
  <c r="H1020" i="1"/>
  <c r="K1020" i="1" s="1"/>
  <c r="F113" i="1"/>
  <c r="I113" i="1" s="1"/>
  <c r="H113" i="1"/>
  <c r="K113" i="1" s="1"/>
  <c r="G113" i="1"/>
  <c r="J113" i="1" s="1"/>
  <c r="F823" i="1"/>
  <c r="I823" i="1" s="1"/>
  <c r="H823" i="1"/>
  <c r="K823" i="1" s="1"/>
  <c r="G823" i="1"/>
  <c r="J823" i="1" s="1"/>
  <c r="F1175" i="1"/>
  <c r="I1175" i="1" s="1"/>
  <c r="H1175" i="1"/>
  <c r="K1175" i="1" s="1"/>
  <c r="G1175" i="1"/>
  <c r="J1175" i="1" s="1"/>
  <c r="F1025" i="1"/>
  <c r="I1025" i="1" s="1"/>
  <c r="H1025" i="1"/>
  <c r="K1025" i="1" s="1"/>
  <c r="G1025" i="1"/>
  <c r="J1025" i="1" s="1"/>
  <c r="F709" i="1"/>
  <c r="I709" i="1" s="1"/>
  <c r="H709" i="1"/>
  <c r="K709" i="1" s="1"/>
  <c r="G709" i="1"/>
  <c r="J709" i="1" s="1"/>
  <c r="F1064" i="1"/>
  <c r="I1064" i="1" s="1"/>
  <c r="H1064" i="1"/>
  <c r="K1064" i="1" s="1"/>
  <c r="G1064" i="1"/>
  <c r="J1064" i="1" s="1"/>
  <c r="F91" i="1"/>
  <c r="I91" i="1" s="1"/>
  <c r="H91" i="1"/>
  <c r="K91" i="1" s="1"/>
  <c r="G91" i="1"/>
  <c r="J91" i="1" s="1"/>
  <c r="F585" i="1"/>
  <c r="I585" i="1" s="1"/>
  <c r="H585" i="1"/>
  <c r="K585" i="1" s="1"/>
  <c r="G585" i="1"/>
  <c r="J585" i="1" s="1"/>
  <c r="F1121" i="1"/>
  <c r="I1121" i="1" s="1"/>
  <c r="G1121" i="1"/>
  <c r="J1121" i="1" s="1"/>
  <c r="H1121" i="1"/>
  <c r="K1121" i="1" s="1"/>
  <c r="F966" i="1"/>
  <c r="I966" i="1" s="1"/>
  <c r="H966" i="1"/>
  <c r="K966" i="1" s="1"/>
  <c r="G966" i="1"/>
  <c r="J966" i="1" s="1"/>
  <c r="F94" i="1"/>
  <c r="I94" i="1" s="1"/>
  <c r="H94" i="1"/>
  <c r="K94" i="1" s="1"/>
  <c r="G94" i="1"/>
  <c r="J94" i="1" s="1"/>
  <c r="F1416" i="1"/>
  <c r="I1416" i="1" s="1"/>
  <c r="H1416" i="1"/>
  <c r="K1416" i="1" s="1"/>
  <c r="G1416" i="1"/>
  <c r="J1416" i="1" s="1"/>
  <c r="F937" i="1"/>
  <c r="I937" i="1" s="1"/>
  <c r="H937" i="1"/>
  <c r="K937" i="1" s="1"/>
  <c r="G937" i="1"/>
  <c r="J937" i="1" s="1"/>
  <c r="F383" i="1"/>
  <c r="I383" i="1" s="1"/>
  <c r="H383" i="1"/>
  <c r="K383" i="1" s="1"/>
  <c r="G383" i="1"/>
  <c r="J383" i="1" s="1"/>
  <c r="F1310" i="1"/>
  <c r="I1310" i="1" s="1"/>
  <c r="G1310" i="1"/>
  <c r="J1310" i="1" s="1"/>
  <c r="H1310" i="1"/>
  <c r="K1310" i="1" s="1"/>
  <c r="F498" i="1"/>
  <c r="I498" i="1" s="1"/>
  <c r="H498" i="1"/>
  <c r="K498" i="1" s="1"/>
  <c r="G498" i="1"/>
  <c r="J498" i="1" s="1"/>
  <c r="F356" i="1"/>
  <c r="I356" i="1" s="1"/>
  <c r="H356" i="1"/>
  <c r="K356" i="1" s="1"/>
  <c r="G356" i="1"/>
  <c r="J356" i="1" s="1"/>
  <c r="F1124" i="1"/>
  <c r="I1124" i="1" s="1"/>
  <c r="H1124" i="1"/>
  <c r="K1124" i="1" s="1"/>
  <c r="G1124" i="1"/>
  <c r="J1124" i="1" s="1"/>
  <c r="F579" i="1"/>
  <c r="I579" i="1" s="1"/>
  <c r="H579" i="1"/>
  <c r="K579" i="1" s="1"/>
  <c r="G579" i="1"/>
  <c r="J579" i="1" s="1"/>
  <c r="F695" i="1"/>
  <c r="I695" i="1" s="1"/>
  <c r="H695" i="1"/>
  <c r="K695" i="1" s="1"/>
  <c r="G695" i="1"/>
  <c r="J695" i="1" s="1"/>
  <c r="F1338" i="1"/>
  <c r="I1338" i="1" s="1"/>
  <c r="H1338" i="1"/>
  <c r="K1338" i="1" s="1"/>
  <c r="G1338" i="1"/>
  <c r="J1338" i="1" s="1"/>
  <c r="F205" i="1"/>
  <c r="I205" i="1" s="1"/>
  <c r="H205" i="1"/>
  <c r="K205" i="1" s="1"/>
  <c r="G205" i="1"/>
  <c r="J205" i="1" s="1"/>
  <c r="F189" i="1"/>
  <c r="I189" i="1" s="1"/>
  <c r="H189" i="1"/>
  <c r="K189" i="1" s="1"/>
  <c r="G189" i="1"/>
  <c r="J189" i="1" s="1"/>
  <c r="F1075" i="1"/>
  <c r="I1075" i="1" s="1"/>
  <c r="H1075" i="1"/>
  <c r="K1075" i="1" s="1"/>
  <c r="G1075" i="1"/>
  <c r="J1075" i="1" s="1"/>
  <c r="F954" i="1"/>
  <c r="I954" i="1" s="1"/>
  <c r="H954" i="1"/>
  <c r="K954" i="1" s="1"/>
  <c r="G954" i="1"/>
  <c r="J954" i="1" s="1"/>
  <c r="F1542" i="1"/>
  <c r="I1542" i="1" s="1"/>
  <c r="H1542" i="1"/>
  <c r="K1542" i="1" s="1"/>
  <c r="G1542" i="1"/>
  <c r="J1542" i="1" s="1"/>
  <c r="F401" i="1"/>
  <c r="I401" i="1" s="1"/>
  <c r="H401" i="1"/>
  <c r="K401" i="1" s="1"/>
  <c r="G401" i="1"/>
  <c r="J401" i="1" s="1"/>
  <c r="F385" i="1"/>
  <c r="I385" i="1" s="1"/>
  <c r="H385" i="1"/>
  <c r="K385" i="1" s="1"/>
  <c r="G385" i="1"/>
  <c r="J385" i="1" s="1"/>
  <c r="F273" i="1"/>
  <c r="I273" i="1" s="1"/>
  <c r="H273" i="1"/>
  <c r="K273" i="1" s="1"/>
  <c r="G273" i="1"/>
  <c r="J273" i="1" s="1"/>
  <c r="F1243" i="1"/>
  <c r="I1243" i="1" s="1"/>
  <c r="H1243" i="1"/>
  <c r="K1243" i="1" s="1"/>
  <c r="G1243" i="1"/>
  <c r="J1243" i="1" s="1"/>
  <c r="F1098" i="1"/>
  <c r="I1098" i="1" s="1"/>
  <c r="H1098" i="1"/>
  <c r="K1098" i="1" s="1"/>
  <c r="G1098" i="1"/>
  <c r="J1098" i="1" s="1"/>
  <c r="F742" i="1"/>
  <c r="I742" i="1" s="1"/>
  <c r="H742" i="1"/>
  <c r="K742" i="1" s="1"/>
  <c r="G742" i="1"/>
  <c r="J742" i="1" s="1"/>
  <c r="F120" i="1"/>
  <c r="I120" i="1" s="1"/>
  <c r="H120" i="1"/>
  <c r="K120" i="1" s="1"/>
  <c r="G120" i="1"/>
  <c r="J120" i="1" s="1"/>
  <c r="F413" i="1"/>
  <c r="I413" i="1" s="1"/>
  <c r="H413" i="1"/>
  <c r="K413" i="1" s="1"/>
  <c r="G413" i="1"/>
  <c r="J413" i="1" s="1"/>
  <c r="F802" i="1"/>
  <c r="I802" i="1" s="1"/>
  <c r="H802" i="1"/>
  <c r="K802" i="1" s="1"/>
  <c r="G802" i="1"/>
  <c r="J802" i="1" s="1"/>
  <c r="F31" i="1"/>
  <c r="I31" i="1" s="1"/>
  <c r="H31" i="1"/>
  <c r="K31" i="1" s="1"/>
  <c r="G31" i="1"/>
  <c r="J31" i="1" s="1"/>
  <c r="F1401" i="1"/>
  <c r="I1401" i="1" s="1"/>
  <c r="H1401" i="1"/>
  <c r="K1401" i="1" s="1"/>
  <c r="G1401" i="1"/>
  <c r="J1401" i="1" s="1"/>
  <c r="F1255" i="1"/>
  <c r="I1255" i="1" s="1"/>
  <c r="H1255" i="1"/>
  <c r="K1255" i="1" s="1"/>
  <c r="G1255" i="1"/>
  <c r="J1255" i="1" s="1"/>
  <c r="F929" i="1"/>
  <c r="I929" i="1" s="1"/>
  <c r="H929" i="1"/>
  <c r="K929" i="1" s="1"/>
  <c r="G929" i="1"/>
  <c r="J929" i="1" s="1"/>
  <c r="F368" i="1"/>
  <c r="I368" i="1" s="1"/>
  <c r="H368" i="1"/>
  <c r="K368" i="1" s="1"/>
  <c r="G368" i="1"/>
  <c r="J368" i="1" s="1"/>
  <c r="F557" i="1"/>
  <c r="I557" i="1" s="1"/>
  <c r="G557" i="1"/>
  <c r="J557" i="1" s="1"/>
  <c r="H557" i="1"/>
  <c r="K557" i="1" s="1"/>
  <c r="F946" i="1"/>
  <c r="I946" i="1" s="1"/>
  <c r="G946" i="1"/>
  <c r="J946" i="1" s="1"/>
  <c r="H946" i="1"/>
  <c r="K946" i="1" s="1"/>
  <c r="F163" i="1"/>
  <c r="I163" i="1" s="1"/>
  <c r="H163" i="1"/>
  <c r="K163" i="1" s="1"/>
  <c r="G163" i="1"/>
  <c r="J163" i="1" s="1"/>
  <c r="F158" i="1"/>
  <c r="I158" i="1" s="1"/>
  <c r="H158" i="1"/>
  <c r="K158" i="1" s="1"/>
  <c r="G158" i="1"/>
  <c r="J158" i="1" s="1"/>
  <c r="F1413" i="1"/>
  <c r="I1413" i="1" s="1"/>
  <c r="H1413" i="1"/>
  <c r="K1413" i="1" s="1"/>
  <c r="G1413" i="1"/>
  <c r="J1413" i="1" s="1"/>
  <c r="F1109" i="1"/>
  <c r="I1109" i="1" s="1"/>
  <c r="H1109" i="1"/>
  <c r="K1109" i="1" s="1"/>
  <c r="G1109" i="1"/>
  <c r="J1109" i="1" s="1"/>
  <c r="F604" i="1"/>
  <c r="I604" i="1" s="1"/>
  <c r="G604" i="1"/>
  <c r="J604" i="1" s="1"/>
  <c r="H604" i="1"/>
  <c r="K604" i="1" s="1"/>
  <c r="F701" i="1"/>
  <c r="I701" i="1" s="1"/>
  <c r="H701" i="1"/>
  <c r="K701" i="1" s="1"/>
  <c r="G701" i="1"/>
  <c r="J701" i="1" s="1"/>
  <c r="F1084" i="1"/>
  <c r="I1084" i="1" s="1"/>
  <c r="G1084" i="1"/>
  <c r="J1084" i="1" s="1"/>
  <c r="H1084" i="1"/>
  <c r="K1084" i="1" s="1"/>
  <c r="F295" i="1"/>
  <c r="I295" i="1" s="1"/>
  <c r="H295" i="1"/>
  <c r="K295" i="1" s="1"/>
  <c r="G295" i="1"/>
  <c r="J295" i="1" s="1"/>
  <c r="F456" i="1"/>
  <c r="I456" i="1" s="1"/>
  <c r="H456" i="1"/>
  <c r="K456" i="1" s="1"/>
  <c r="G456" i="1"/>
  <c r="J456" i="1" s="1"/>
  <c r="F1559" i="1"/>
  <c r="I1559" i="1" s="1"/>
  <c r="H1559" i="1"/>
  <c r="K1559" i="1" s="1"/>
  <c r="G1559" i="1"/>
  <c r="J1559" i="1" s="1"/>
  <c r="F1266" i="1"/>
  <c r="I1266" i="1" s="1"/>
  <c r="H1266" i="1"/>
  <c r="K1266" i="1" s="1"/>
  <c r="G1266" i="1"/>
  <c r="J1266" i="1" s="1"/>
  <c r="F102" i="1"/>
  <c r="I102" i="1" s="1"/>
  <c r="H102" i="1"/>
  <c r="K102" i="1" s="1"/>
  <c r="G102" i="1"/>
  <c r="J102" i="1" s="1"/>
  <c r="F845" i="1"/>
  <c r="I845" i="1" s="1"/>
  <c r="H845" i="1"/>
  <c r="K845" i="1" s="1"/>
  <c r="G845" i="1"/>
  <c r="J845" i="1" s="1"/>
  <c r="F123" i="1"/>
  <c r="I123" i="1" s="1"/>
  <c r="H123" i="1"/>
  <c r="K123" i="1" s="1"/>
  <c r="G123" i="1"/>
  <c r="J123" i="1" s="1"/>
  <c r="F427" i="1"/>
  <c r="I427" i="1" s="1"/>
  <c r="H427" i="1"/>
  <c r="K427" i="1" s="1"/>
  <c r="G427" i="1"/>
  <c r="J427" i="1" s="1"/>
  <c r="F226" i="1"/>
  <c r="I226" i="1" s="1"/>
  <c r="H226" i="1"/>
  <c r="K226" i="1" s="1"/>
  <c r="G226" i="1"/>
  <c r="J226" i="1" s="1"/>
  <c r="F250" i="1"/>
  <c r="I250" i="1" s="1"/>
  <c r="H250" i="1"/>
  <c r="K250" i="1" s="1"/>
  <c r="G250" i="1"/>
  <c r="J250" i="1" s="1"/>
  <c r="F1518" i="1"/>
  <c r="I1518" i="1" s="1"/>
  <c r="H1518" i="1"/>
  <c r="K1518" i="1" s="1"/>
  <c r="G1518" i="1"/>
  <c r="J1518" i="1" s="1"/>
  <c r="F599" i="1"/>
  <c r="I599" i="1" s="1"/>
  <c r="H599" i="1"/>
  <c r="K599" i="1" s="1"/>
  <c r="G599" i="1"/>
  <c r="J599" i="1" s="1"/>
  <c r="F1412" i="1"/>
  <c r="I1412" i="1" s="1"/>
  <c r="H1412" i="1"/>
  <c r="K1412" i="1" s="1"/>
  <c r="G1412" i="1"/>
  <c r="J1412" i="1" s="1"/>
  <c r="F415" i="1"/>
  <c r="I415" i="1" s="1"/>
  <c r="H415" i="1"/>
  <c r="K415" i="1" s="1"/>
  <c r="G415" i="1"/>
  <c r="J415" i="1" s="1"/>
  <c r="F220" i="1"/>
  <c r="I220" i="1" s="1"/>
  <c r="H220" i="1"/>
  <c r="K220" i="1" s="1"/>
  <c r="G220" i="1"/>
  <c r="J220" i="1" s="1"/>
  <c r="F1391" i="1"/>
  <c r="I1391" i="1" s="1"/>
  <c r="H1391" i="1"/>
  <c r="K1391" i="1" s="1"/>
  <c r="G1391" i="1"/>
  <c r="J1391" i="1" s="1"/>
  <c r="F118" i="1"/>
  <c r="I118" i="1" s="1"/>
  <c r="H118" i="1"/>
  <c r="K118" i="1" s="1"/>
  <c r="G118" i="1"/>
  <c r="J118" i="1" s="1"/>
  <c r="F754" i="1"/>
  <c r="I754" i="1" s="1"/>
  <c r="H754" i="1"/>
  <c r="K754" i="1" s="1"/>
  <c r="G754" i="1"/>
  <c r="J754" i="1" s="1"/>
  <c r="F967" i="1"/>
  <c r="I967" i="1" s="1"/>
  <c r="H967" i="1"/>
  <c r="K967" i="1" s="1"/>
  <c r="G967" i="1"/>
  <c r="J967" i="1" s="1"/>
  <c r="F1134" i="1"/>
  <c r="I1134" i="1" s="1"/>
  <c r="H1134" i="1"/>
  <c r="K1134" i="1" s="1"/>
  <c r="G1134" i="1"/>
  <c r="J1134" i="1" s="1"/>
  <c r="F791" i="1"/>
  <c r="I791" i="1" s="1"/>
  <c r="G791" i="1"/>
  <c r="J791" i="1" s="1"/>
  <c r="H791" i="1"/>
  <c r="K791" i="1" s="1"/>
  <c r="F133" i="1"/>
  <c r="I133" i="1" s="1"/>
  <c r="G133" i="1"/>
  <c r="J133" i="1" s="1"/>
  <c r="H133" i="1"/>
  <c r="K133" i="1" s="1"/>
  <c r="F1384" i="1"/>
  <c r="I1384" i="1" s="1"/>
  <c r="H1384" i="1"/>
  <c r="K1384" i="1" s="1"/>
  <c r="G1384" i="1"/>
  <c r="J1384" i="1" s="1"/>
  <c r="F1154" i="1"/>
  <c r="I1154" i="1" s="1"/>
  <c r="H1154" i="1"/>
  <c r="K1154" i="1" s="1"/>
  <c r="G1154" i="1"/>
  <c r="J1154" i="1" s="1"/>
  <c r="F675" i="1"/>
  <c r="I675" i="1" s="1"/>
  <c r="H675" i="1"/>
  <c r="K675" i="1" s="1"/>
  <c r="G675" i="1"/>
  <c r="J675" i="1" s="1"/>
  <c r="F121" i="1"/>
  <c r="I121" i="1" s="1"/>
  <c r="H121" i="1"/>
  <c r="K121" i="1" s="1"/>
  <c r="G121" i="1"/>
  <c r="J121" i="1" s="1"/>
  <c r="F940" i="1"/>
  <c r="I940" i="1" s="1"/>
  <c r="G940" i="1"/>
  <c r="J940" i="1" s="1"/>
  <c r="H940" i="1"/>
  <c r="K940" i="1" s="1"/>
  <c r="F68" i="1"/>
  <c r="I68" i="1" s="1"/>
  <c r="H68" i="1"/>
  <c r="K68" i="1" s="1"/>
  <c r="G68" i="1"/>
  <c r="J68" i="1" s="1"/>
  <c r="F1403" i="1"/>
  <c r="I1403" i="1" s="1"/>
  <c r="H1403" i="1"/>
  <c r="K1403" i="1" s="1"/>
  <c r="G1403" i="1"/>
  <c r="J1403" i="1" s="1"/>
  <c r="F924" i="1"/>
  <c r="I924" i="1" s="1"/>
  <c r="H924" i="1"/>
  <c r="K924" i="1" s="1"/>
  <c r="G924" i="1"/>
  <c r="J924" i="1" s="1"/>
  <c r="F370" i="1"/>
  <c r="I370" i="1" s="1"/>
  <c r="H370" i="1"/>
  <c r="K370" i="1" s="1"/>
  <c r="G370" i="1"/>
  <c r="J370" i="1" s="1"/>
  <c r="F207" i="1"/>
  <c r="I207" i="1" s="1"/>
  <c r="H207" i="1"/>
  <c r="K207" i="1" s="1"/>
  <c r="G207" i="1"/>
  <c r="J207" i="1" s="1"/>
  <c r="F1047" i="1"/>
  <c r="I1047" i="1" s="1"/>
  <c r="H1047" i="1"/>
  <c r="K1047" i="1" s="1"/>
  <c r="G1047" i="1"/>
  <c r="J1047" i="1" s="1"/>
  <c r="F1544" i="1"/>
  <c r="I1544" i="1" s="1"/>
  <c r="H1544" i="1"/>
  <c r="K1544" i="1" s="1"/>
  <c r="G1544" i="1"/>
  <c r="J1544" i="1" s="1"/>
  <c r="F1036" i="1"/>
  <c r="I1036" i="1" s="1"/>
  <c r="H1036" i="1"/>
  <c r="K1036" i="1" s="1"/>
  <c r="G1036" i="1"/>
  <c r="J1036" i="1" s="1"/>
  <c r="F721" i="1"/>
  <c r="I721" i="1" s="1"/>
  <c r="H721" i="1"/>
  <c r="K721" i="1" s="1"/>
  <c r="G721" i="1"/>
  <c r="J721" i="1" s="1"/>
  <c r="F677" i="1"/>
  <c r="I677" i="1" s="1"/>
  <c r="H677" i="1"/>
  <c r="K677" i="1" s="1"/>
  <c r="G677" i="1"/>
  <c r="J677" i="1" s="1"/>
  <c r="F1323" i="1"/>
  <c r="I1323" i="1" s="1"/>
  <c r="H1323" i="1"/>
  <c r="K1323" i="1" s="1"/>
  <c r="G1323" i="1"/>
  <c r="J1323" i="1" s="1"/>
  <c r="F192" i="1"/>
  <c r="I192" i="1" s="1"/>
  <c r="H192" i="1"/>
  <c r="K192" i="1" s="1"/>
  <c r="G192" i="1"/>
  <c r="J192" i="1" s="1"/>
  <c r="F176" i="1"/>
  <c r="I176" i="1" s="1"/>
  <c r="H176" i="1"/>
  <c r="K176" i="1" s="1"/>
  <c r="G176" i="1"/>
  <c r="J176" i="1" s="1"/>
  <c r="F1418" i="1"/>
  <c r="I1418" i="1" s="1"/>
  <c r="H1418" i="1"/>
  <c r="K1418" i="1" s="1"/>
  <c r="G1418" i="1"/>
  <c r="J1418" i="1" s="1"/>
  <c r="F1069" i="1"/>
  <c r="I1069" i="1" s="1"/>
  <c r="H1069" i="1"/>
  <c r="K1069" i="1" s="1"/>
  <c r="G1069" i="1"/>
  <c r="J1069" i="1" s="1"/>
  <c r="F900" i="1"/>
  <c r="I900" i="1" s="1"/>
  <c r="H900" i="1"/>
  <c r="K900" i="1" s="1"/>
  <c r="G900" i="1"/>
  <c r="J900" i="1" s="1"/>
  <c r="F494" i="1"/>
  <c r="I494" i="1" s="1"/>
  <c r="H494" i="1"/>
  <c r="K494" i="1" s="1"/>
  <c r="G494" i="1"/>
  <c r="J494" i="1" s="1"/>
  <c r="F493" i="1"/>
  <c r="I493" i="1" s="1"/>
  <c r="H493" i="1"/>
  <c r="K493" i="1" s="1"/>
  <c r="G493" i="1"/>
  <c r="J493" i="1" s="1"/>
  <c r="F256" i="1"/>
  <c r="I256" i="1" s="1"/>
  <c r="H256" i="1"/>
  <c r="K256" i="1" s="1"/>
  <c r="G256" i="1"/>
  <c r="J256" i="1" s="1"/>
  <c r="F645" i="1"/>
  <c r="I645" i="1" s="1"/>
  <c r="H645" i="1"/>
  <c r="K645" i="1" s="1"/>
  <c r="G645" i="1"/>
  <c r="J645" i="1" s="1"/>
  <c r="F1594" i="1"/>
  <c r="I1594" i="1" s="1"/>
  <c r="H1594" i="1"/>
  <c r="K1594" i="1" s="1"/>
  <c r="G1594" i="1"/>
  <c r="J1594" i="1" s="1"/>
  <c r="F1229" i="1"/>
  <c r="I1229" i="1" s="1"/>
  <c r="H1229" i="1"/>
  <c r="K1229" i="1" s="1"/>
  <c r="G1229" i="1"/>
  <c r="J1229" i="1" s="1"/>
  <c r="F1082" i="1"/>
  <c r="I1082" i="1" s="1"/>
  <c r="G1082" i="1"/>
  <c r="J1082" i="1" s="1"/>
  <c r="H1082" i="1"/>
  <c r="K1082" i="1" s="1"/>
  <c r="F724" i="1"/>
  <c r="I724" i="1" s="1"/>
  <c r="H724" i="1"/>
  <c r="K724" i="1" s="1"/>
  <c r="G724" i="1"/>
  <c r="J724" i="1" s="1"/>
  <c r="F101" i="1"/>
  <c r="I101" i="1" s="1"/>
  <c r="H101" i="1"/>
  <c r="K101" i="1" s="1"/>
  <c r="G101" i="1"/>
  <c r="J101" i="1" s="1"/>
  <c r="F400" i="1"/>
  <c r="I400" i="1" s="1"/>
  <c r="H400" i="1"/>
  <c r="K400" i="1" s="1"/>
  <c r="G400" i="1"/>
  <c r="J400" i="1" s="1"/>
  <c r="F789" i="1"/>
  <c r="I789" i="1" s="1"/>
  <c r="H789" i="1"/>
  <c r="K789" i="1" s="1"/>
  <c r="G789" i="1"/>
  <c r="J789" i="1" s="1"/>
  <c r="F19" i="1"/>
  <c r="I19" i="1" s="1"/>
  <c r="H19" i="1"/>
  <c r="K19" i="1" s="1"/>
  <c r="G19" i="1"/>
  <c r="J19" i="1" s="1"/>
  <c r="F1386" i="1"/>
  <c r="I1386" i="1" s="1"/>
  <c r="H1386" i="1"/>
  <c r="K1386" i="1" s="1"/>
  <c r="G1386" i="1"/>
  <c r="J1386" i="1" s="1"/>
  <c r="F1241" i="1"/>
  <c r="I1241" i="1" s="1"/>
  <c r="H1241" i="1"/>
  <c r="K1241" i="1" s="1"/>
  <c r="G1241" i="1"/>
  <c r="J1241" i="1" s="1"/>
  <c r="F913" i="1"/>
  <c r="I913" i="1" s="1"/>
  <c r="H913" i="1"/>
  <c r="K913" i="1" s="1"/>
  <c r="G913" i="1"/>
  <c r="J913" i="1" s="1"/>
  <c r="F345" i="1"/>
  <c r="I345" i="1" s="1"/>
  <c r="H345" i="1"/>
  <c r="K345" i="1" s="1"/>
  <c r="G345" i="1"/>
  <c r="J345" i="1" s="1"/>
  <c r="F544" i="1"/>
  <c r="I544" i="1" s="1"/>
  <c r="H544" i="1"/>
  <c r="K544" i="1" s="1"/>
  <c r="G544" i="1"/>
  <c r="J544" i="1" s="1"/>
  <c r="F933" i="1"/>
  <c r="I933" i="1" s="1"/>
  <c r="H933" i="1"/>
  <c r="K933" i="1" s="1"/>
  <c r="G933" i="1"/>
  <c r="J933" i="1" s="1"/>
  <c r="F151" i="1"/>
  <c r="I151" i="1" s="1"/>
  <c r="H151" i="1"/>
  <c r="K151" i="1" s="1"/>
  <c r="G151" i="1"/>
  <c r="J151" i="1" s="1"/>
  <c r="F132" i="1"/>
  <c r="I132" i="1" s="1"/>
  <c r="H132" i="1"/>
  <c r="K132" i="1" s="1"/>
  <c r="G132" i="1"/>
  <c r="J132" i="1" s="1"/>
  <c r="F1398" i="1"/>
  <c r="I1398" i="1" s="1"/>
  <c r="H1398" i="1"/>
  <c r="K1398" i="1" s="1"/>
  <c r="G1398" i="1"/>
  <c r="J1398" i="1" s="1"/>
  <c r="F1094" i="1"/>
  <c r="I1094" i="1" s="1"/>
  <c r="H1094" i="1"/>
  <c r="K1094" i="1" s="1"/>
  <c r="G1094" i="1"/>
  <c r="J1094" i="1" s="1"/>
  <c r="F589" i="1"/>
  <c r="I589" i="1" s="1"/>
  <c r="H589" i="1"/>
  <c r="K589" i="1" s="1"/>
  <c r="G589" i="1"/>
  <c r="J589" i="1" s="1"/>
  <c r="F688" i="1"/>
  <c r="I688" i="1" s="1"/>
  <c r="G688" i="1"/>
  <c r="J688" i="1" s="1"/>
  <c r="H688" i="1"/>
  <c r="K688" i="1" s="1"/>
  <c r="F1072" i="1"/>
  <c r="I1072" i="1" s="1"/>
  <c r="H1072" i="1"/>
  <c r="K1072" i="1" s="1"/>
  <c r="G1072" i="1"/>
  <c r="J1072" i="1" s="1"/>
  <c r="F283" i="1"/>
  <c r="I283" i="1" s="1"/>
  <c r="H283" i="1"/>
  <c r="K283" i="1" s="1"/>
  <c r="G283" i="1"/>
  <c r="J283" i="1" s="1"/>
  <c r="F1049" i="1"/>
  <c r="I1049" i="1" s="1"/>
  <c r="H1049" i="1"/>
  <c r="K1049" i="1" s="1"/>
  <c r="G1049" i="1"/>
  <c r="J1049" i="1" s="1"/>
  <c r="F726" i="1"/>
  <c r="I726" i="1" s="1"/>
  <c r="H726" i="1"/>
  <c r="K726" i="1" s="1"/>
  <c r="G726" i="1"/>
  <c r="J726" i="1" s="1"/>
  <c r="F1076" i="1"/>
  <c r="I1076" i="1" s="1"/>
  <c r="G1076" i="1"/>
  <c r="J1076" i="1" s="1"/>
  <c r="H1076" i="1"/>
  <c r="K1076" i="1" s="1"/>
  <c r="F115" i="1"/>
  <c r="I115" i="1" s="1"/>
  <c r="H115" i="1"/>
  <c r="K115" i="1" s="1"/>
  <c r="G115" i="1"/>
  <c r="J115" i="1" s="1"/>
  <c r="F1164" i="1"/>
  <c r="I1164" i="1" s="1"/>
  <c r="H1164" i="1"/>
  <c r="K1164" i="1" s="1"/>
  <c r="G1164" i="1"/>
  <c r="J1164" i="1" s="1"/>
  <c r="F1057" i="1"/>
  <c r="I1057" i="1" s="1"/>
  <c r="H1057" i="1"/>
  <c r="K1057" i="1" s="1"/>
  <c r="G1057" i="1"/>
  <c r="J1057" i="1" s="1"/>
  <c r="F1224" i="1"/>
  <c r="I1224" i="1" s="1"/>
  <c r="H1224" i="1"/>
  <c r="K1224" i="1" s="1"/>
  <c r="G1224" i="1"/>
  <c r="J1224" i="1" s="1"/>
  <c r="F335" i="1"/>
  <c r="I335" i="1" s="1"/>
  <c r="H335" i="1"/>
  <c r="K335" i="1" s="1"/>
  <c r="G335" i="1"/>
  <c r="J335" i="1" s="1"/>
  <c r="F775" i="1"/>
  <c r="I775" i="1" s="1"/>
  <c r="H775" i="1"/>
  <c r="K775" i="1" s="1"/>
  <c r="G775" i="1"/>
  <c r="J775" i="1" s="1"/>
  <c r="F1428" i="1"/>
  <c r="I1428" i="1" s="1"/>
  <c r="H1428" i="1"/>
  <c r="K1428" i="1" s="1"/>
  <c r="G1428" i="1"/>
  <c r="J1428" i="1" s="1"/>
  <c r="F248" i="1"/>
  <c r="I248" i="1" s="1"/>
  <c r="H248" i="1"/>
  <c r="K248" i="1" s="1"/>
  <c r="G248" i="1"/>
  <c r="J248" i="1" s="1"/>
  <c r="F1218" i="1"/>
  <c r="I1218" i="1" s="1"/>
  <c r="H1218" i="1"/>
  <c r="K1218" i="1" s="1"/>
  <c r="G1218" i="1"/>
  <c r="J1218" i="1" s="1"/>
  <c r="F1156" i="1"/>
  <c r="I1156" i="1" s="1"/>
  <c r="H1156" i="1"/>
  <c r="K1156" i="1" s="1"/>
  <c r="G1156" i="1"/>
  <c r="J1156" i="1" s="1"/>
  <c r="F921" i="1"/>
  <c r="I921" i="1" s="1"/>
  <c r="H921" i="1"/>
  <c r="K921" i="1" s="1"/>
  <c r="G921" i="1"/>
  <c r="J921" i="1" s="1"/>
  <c r="F466" i="1"/>
  <c r="I466" i="1" s="1"/>
  <c r="H466" i="1"/>
  <c r="K466" i="1" s="1"/>
  <c r="G466" i="1"/>
  <c r="J466" i="1" s="1"/>
  <c r="F943" i="1"/>
  <c r="I943" i="1" s="1"/>
  <c r="H943" i="1"/>
  <c r="K943" i="1" s="1"/>
  <c r="G943" i="1"/>
  <c r="J943" i="1" s="1"/>
  <c r="F81" i="1"/>
  <c r="I81" i="1" s="1"/>
  <c r="H81" i="1"/>
  <c r="K81" i="1" s="1"/>
  <c r="G81" i="1"/>
  <c r="J81" i="1" s="1"/>
  <c r="F1370" i="1"/>
  <c r="I1370" i="1" s="1"/>
  <c r="G1370" i="1"/>
  <c r="J1370" i="1" s="1"/>
  <c r="H1370" i="1"/>
  <c r="K1370" i="1" s="1"/>
  <c r="F1141" i="1"/>
  <c r="I1141" i="1" s="1"/>
  <c r="H1141" i="1"/>
  <c r="K1141" i="1" s="1"/>
  <c r="G1141" i="1"/>
  <c r="J1141" i="1" s="1"/>
  <c r="F662" i="1"/>
  <c r="I662" i="1" s="1"/>
  <c r="H662" i="1"/>
  <c r="K662" i="1" s="1"/>
  <c r="G662" i="1"/>
  <c r="J662" i="1" s="1"/>
  <c r="F108" i="1"/>
  <c r="I108" i="1" s="1"/>
  <c r="H108" i="1"/>
  <c r="K108" i="1" s="1"/>
  <c r="G108" i="1"/>
  <c r="J108" i="1" s="1"/>
  <c r="F866" i="1"/>
  <c r="I866" i="1" s="1"/>
  <c r="H866" i="1"/>
  <c r="K866" i="1" s="1"/>
  <c r="G866" i="1"/>
  <c r="J866" i="1" s="1"/>
  <c r="F774" i="1"/>
  <c r="I774" i="1" s="1"/>
  <c r="H774" i="1"/>
  <c r="K774" i="1" s="1"/>
  <c r="G774" i="1"/>
  <c r="J774" i="1" s="1"/>
  <c r="F1352" i="1"/>
  <c r="I1352" i="1" s="1"/>
  <c r="G1352" i="1"/>
  <c r="J1352" i="1" s="1"/>
  <c r="H1352" i="1"/>
  <c r="K1352" i="1" s="1"/>
  <c r="F828" i="1"/>
  <c r="I828" i="1" s="1"/>
  <c r="H828" i="1"/>
  <c r="K828" i="1" s="1"/>
  <c r="G828" i="1"/>
  <c r="J828" i="1" s="1"/>
  <c r="F135" i="1"/>
  <c r="I135" i="1" s="1"/>
  <c r="H135" i="1"/>
  <c r="K135" i="1" s="1"/>
  <c r="G135" i="1"/>
  <c r="J135" i="1" s="1"/>
  <c r="F181" i="1"/>
  <c r="I181" i="1" s="1"/>
  <c r="H181" i="1"/>
  <c r="K181" i="1" s="1"/>
  <c r="G181" i="1"/>
  <c r="J181" i="1" s="1"/>
  <c r="F1032" i="1"/>
  <c r="I1032" i="1" s="1"/>
  <c r="G1032" i="1"/>
  <c r="J1032" i="1" s="1"/>
  <c r="H1032" i="1"/>
  <c r="K1032" i="1" s="1"/>
  <c r="F1532" i="1"/>
  <c r="I1532" i="1" s="1"/>
  <c r="H1532" i="1"/>
  <c r="K1532" i="1" s="1"/>
  <c r="G1532" i="1"/>
  <c r="J1532" i="1" s="1"/>
  <c r="F1024" i="1"/>
  <c r="I1024" i="1" s="1"/>
  <c r="H1024" i="1"/>
  <c r="K1024" i="1" s="1"/>
  <c r="G1024" i="1"/>
  <c r="J1024" i="1" s="1"/>
  <c r="F1161" i="1"/>
  <c r="I1161" i="1" s="1"/>
  <c r="H1161" i="1"/>
  <c r="K1161" i="1" s="1"/>
  <c r="G1161" i="1"/>
  <c r="J1161" i="1" s="1"/>
  <c r="F868" i="1"/>
  <c r="I868" i="1" s="1"/>
  <c r="H868" i="1"/>
  <c r="K868" i="1" s="1"/>
  <c r="G868" i="1"/>
  <c r="J868" i="1" s="1"/>
  <c r="F693" i="1"/>
  <c r="I693" i="1" s="1"/>
  <c r="H693" i="1"/>
  <c r="K693" i="1" s="1"/>
  <c r="G693" i="1"/>
  <c r="J693" i="1" s="1"/>
  <c r="F170" i="1"/>
  <c r="I170" i="1" s="1"/>
  <c r="H170" i="1"/>
  <c r="K170" i="1" s="1"/>
  <c r="G170" i="1"/>
  <c r="J170" i="1" s="1"/>
  <c r="F336" i="1"/>
  <c r="I336" i="1" s="1"/>
  <c r="H336" i="1"/>
  <c r="K336" i="1" s="1"/>
  <c r="G336" i="1"/>
  <c r="J336" i="1" s="1"/>
  <c r="F99" i="1"/>
  <c r="I99" i="1" s="1"/>
  <c r="H99" i="1"/>
  <c r="K99" i="1" s="1"/>
  <c r="G99" i="1"/>
  <c r="J99" i="1" s="1"/>
  <c r="F488" i="1"/>
  <c r="I488" i="1" s="1"/>
  <c r="H488" i="1"/>
  <c r="K488" i="1" s="1"/>
  <c r="G488" i="1"/>
  <c r="J488" i="1" s="1"/>
  <c r="F1396" i="1"/>
  <c r="I1396" i="1" s="1"/>
  <c r="G1396" i="1"/>
  <c r="J1396" i="1" s="1"/>
  <c r="H1396" i="1"/>
  <c r="K1396" i="1" s="1"/>
  <c r="F1054" i="1"/>
  <c r="I1054" i="1" s="1"/>
  <c r="G1054" i="1"/>
  <c r="J1054" i="1" s="1"/>
  <c r="H1054" i="1"/>
  <c r="K1054" i="1" s="1"/>
  <c r="F882" i="1"/>
  <c r="I882" i="1" s="1"/>
  <c r="G882" i="1"/>
  <c r="J882" i="1" s="1"/>
  <c r="H882" i="1"/>
  <c r="K882" i="1" s="1"/>
  <c r="F468" i="1"/>
  <c r="I468" i="1" s="1"/>
  <c r="G468" i="1"/>
  <c r="J468" i="1" s="1"/>
  <c r="H468" i="1"/>
  <c r="K468" i="1" s="1"/>
  <c r="F480" i="1"/>
  <c r="I480" i="1" s="1"/>
  <c r="G480" i="1"/>
  <c r="J480" i="1" s="1"/>
  <c r="H480" i="1"/>
  <c r="K480" i="1" s="1"/>
  <c r="F243" i="1"/>
  <c r="I243" i="1" s="1"/>
  <c r="G243" i="1"/>
  <c r="J243" i="1" s="1"/>
  <c r="H243" i="1"/>
  <c r="K243" i="1" s="1"/>
  <c r="F632" i="1"/>
  <c r="I632" i="1" s="1"/>
  <c r="G632" i="1"/>
  <c r="J632" i="1" s="1"/>
  <c r="H632" i="1"/>
  <c r="K632" i="1" s="1"/>
  <c r="F1579" i="1"/>
  <c r="I1579" i="1" s="1"/>
  <c r="H1579" i="1"/>
  <c r="K1579" i="1" s="1"/>
  <c r="G1579" i="1"/>
  <c r="J1579" i="1" s="1"/>
  <c r="F1215" i="1"/>
  <c r="I1215" i="1" s="1"/>
  <c r="H1215" i="1"/>
  <c r="K1215" i="1" s="1"/>
  <c r="G1215" i="1"/>
  <c r="J1215" i="1" s="1"/>
  <c r="F1067" i="1"/>
  <c r="I1067" i="1" s="1"/>
  <c r="H1067" i="1"/>
  <c r="K1067" i="1" s="1"/>
  <c r="G1067" i="1"/>
  <c r="J1067" i="1" s="1"/>
  <c r="F707" i="1"/>
  <c r="I707" i="1" s="1"/>
  <c r="H707" i="1"/>
  <c r="K707" i="1" s="1"/>
  <c r="G707" i="1"/>
  <c r="J707" i="1" s="1"/>
  <c r="F77" i="1"/>
  <c r="I77" i="1" s="1"/>
  <c r="H77" i="1"/>
  <c r="K77" i="1" s="1"/>
  <c r="G77" i="1"/>
  <c r="J77" i="1" s="1"/>
  <c r="F387" i="1"/>
  <c r="I387" i="1" s="1"/>
  <c r="H387" i="1"/>
  <c r="K387" i="1" s="1"/>
  <c r="G387" i="1"/>
  <c r="J387" i="1" s="1"/>
  <c r="F776" i="1"/>
  <c r="I776" i="1" s="1"/>
  <c r="H776" i="1"/>
  <c r="K776" i="1" s="1"/>
  <c r="G776" i="1"/>
  <c r="J776" i="1" s="1"/>
  <c r="F7" i="1"/>
  <c r="I7" i="1" s="1"/>
  <c r="H7" i="1"/>
  <c r="K7" i="1" s="1"/>
  <c r="G7" i="1"/>
  <c r="J7" i="1" s="1"/>
  <c r="F1372" i="1"/>
  <c r="I1372" i="1" s="1"/>
  <c r="H1372" i="1"/>
  <c r="K1372" i="1" s="1"/>
  <c r="G1372" i="1"/>
  <c r="J1372" i="1" s="1"/>
  <c r="F1227" i="1"/>
  <c r="I1227" i="1" s="1"/>
  <c r="H1227" i="1"/>
  <c r="K1227" i="1" s="1"/>
  <c r="G1227" i="1"/>
  <c r="J1227" i="1" s="1"/>
  <c r="F896" i="1"/>
  <c r="I896" i="1" s="1"/>
  <c r="H896" i="1"/>
  <c r="K896" i="1" s="1"/>
  <c r="G896" i="1"/>
  <c r="J896" i="1" s="1"/>
  <c r="F325" i="1"/>
  <c r="I325" i="1" s="1"/>
  <c r="H325" i="1"/>
  <c r="K325" i="1" s="1"/>
  <c r="G325" i="1"/>
  <c r="J325" i="1" s="1"/>
  <c r="F531" i="1"/>
  <c r="I531" i="1" s="1"/>
  <c r="H531" i="1"/>
  <c r="K531" i="1" s="1"/>
  <c r="G531" i="1"/>
  <c r="J531" i="1" s="1"/>
  <c r="F920" i="1"/>
  <c r="I920" i="1" s="1"/>
  <c r="H920" i="1"/>
  <c r="K920" i="1" s="1"/>
  <c r="G920" i="1"/>
  <c r="J920" i="1" s="1"/>
  <c r="F139" i="1"/>
  <c r="I139" i="1" s="1"/>
  <c r="H139" i="1"/>
  <c r="K139" i="1" s="1"/>
  <c r="G139" i="1"/>
  <c r="J139" i="1" s="1"/>
  <c r="F725" i="1"/>
  <c r="I725" i="1" s="1"/>
  <c r="G725" i="1"/>
  <c r="J725" i="1" s="1"/>
  <c r="H725" i="1"/>
  <c r="K725" i="1" s="1"/>
  <c r="F836" i="1"/>
  <c r="I836" i="1" s="1"/>
  <c r="H836" i="1"/>
  <c r="K836" i="1" s="1"/>
  <c r="G836" i="1"/>
  <c r="J836" i="1" s="1"/>
  <c r="F1195" i="1"/>
  <c r="I1195" i="1" s="1"/>
  <c r="H1195" i="1"/>
  <c r="K1195" i="1" s="1"/>
  <c r="G1195" i="1"/>
  <c r="J1195" i="1" s="1"/>
  <c r="F1571" i="1"/>
  <c r="I1571" i="1" s="1"/>
  <c r="H1571" i="1"/>
  <c r="K1571" i="1" s="1"/>
  <c r="G1571" i="1"/>
  <c r="J1571" i="1" s="1"/>
  <c r="F991" i="1"/>
  <c r="I991" i="1" s="1"/>
  <c r="H991" i="1"/>
  <c r="K991" i="1" s="1"/>
  <c r="G991" i="1"/>
  <c r="J991" i="1" s="1"/>
  <c r="F942" i="1"/>
  <c r="I942" i="1" s="1"/>
  <c r="G942" i="1"/>
  <c r="J942" i="1" s="1"/>
  <c r="H942" i="1"/>
  <c r="K942" i="1" s="1"/>
  <c r="F276" i="1"/>
  <c r="I276" i="1" s="1"/>
  <c r="H276" i="1"/>
  <c r="K276" i="1" s="1"/>
  <c r="G276" i="1"/>
  <c r="J276" i="1" s="1"/>
  <c r="F209" i="1"/>
  <c r="I209" i="1" s="1"/>
  <c r="H209" i="1"/>
  <c r="K209" i="1" s="1"/>
  <c r="G209" i="1"/>
  <c r="J209" i="1" s="1"/>
  <c r="F995" i="1"/>
  <c r="I995" i="1" s="1"/>
  <c r="H995" i="1"/>
  <c r="K995" i="1" s="1"/>
  <c r="G995" i="1"/>
  <c r="J995" i="1" s="1"/>
  <c r="F286" i="1"/>
  <c r="I286" i="1" s="1"/>
  <c r="H286" i="1"/>
  <c r="K286" i="1" s="1"/>
  <c r="G286" i="1"/>
  <c r="J286" i="1" s="1"/>
  <c r="F126" i="1"/>
  <c r="I126" i="1" s="1"/>
  <c r="H126" i="1"/>
  <c r="K126" i="1" s="1"/>
  <c r="G126" i="1"/>
  <c r="J126" i="1" s="1"/>
  <c r="F1019" i="1"/>
  <c r="I1019" i="1" s="1"/>
  <c r="H1019" i="1"/>
  <c r="K1019" i="1" s="1"/>
  <c r="G1019" i="1"/>
  <c r="J1019" i="1" s="1"/>
  <c r="F224" i="1"/>
  <c r="I224" i="1" s="1"/>
  <c r="H224" i="1"/>
  <c r="K224" i="1" s="1"/>
  <c r="G224" i="1"/>
  <c r="J224" i="1" s="1"/>
  <c r="F1482" i="1"/>
  <c r="I1482" i="1" s="1"/>
  <c r="H1482" i="1"/>
  <c r="K1482" i="1" s="1"/>
  <c r="G1482" i="1"/>
  <c r="J1482" i="1" s="1"/>
  <c r="F1058" i="1"/>
  <c r="I1058" i="1" s="1"/>
  <c r="H1058" i="1"/>
  <c r="K1058" i="1" s="1"/>
  <c r="G1058" i="1"/>
  <c r="J1058" i="1" s="1"/>
  <c r="F1547" i="1"/>
  <c r="I1547" i="1" s="1"/>
  <c r="H1547" i="1"/>
  <c r="K1547" i="1" s="1"/>
  <c r="G1547" i="1"/>
  <c r="J1547" i="1" s="1"/>
  <c r="F1034" i="1"/>
  <c r="I1034" i="1" s="1"/>
  <c r="H1034" i="1"/>
  <c r="K1034" i="1" s="1"/>
  <c r="G1034" i="1"/>
  <c r="J1034" i="1" s="1"/>
  <c r="F536" i="1"/>
  <c r="I536" i="1" s="1"/>
  <c r="H536" i="1"/>
  <c r="K536" i="1" s="1"/>
  <c r="G536" i="1"/>
  <c r="J536" i="1" s="1"/>
  <c r="F1231" i="1"/>
  <c r="I1231" i="1" s="1"/>
  <c r="H1231" i="1"/>
  <c r="K1231" i="1" s="1"/>
  <c r="G1231" i="1"/>
  <c r="J1231" i="1" s="1"/>
  <c r="F949" i="1"/>
  <c r="I949" i="1" s="1"/>
  <c r="H949" i="1"/>
  <c r="K949" i="1" s="1"/>
  <c r="G949" i="1"/>
  <c r="J949" i="1" s="1"/>
  <c r="F1242" i="1"/>
  <c r="I1242" i="1" s="1"/>
  <c r="H1242" i="1"/>
  <c r="K1242" i="1" s="1"/>
  <c r="G1242" i="1"/>
  <c r="J1242" i="1" s="1"/>
  <c r="F1230" i="1"/>
  <c r="I1230" i="1" s="1"/>
  <c r="H1230" i="1"/>
  <c r="K1230" i="1" s="1"/>
  <c r="G1230" i="1"/>
  <c r="J1230" i="1" s="1"/>
  <c r="F252" i="1"/>
  <c r="I252" i="1" s="1"/>
  <c r="H252" i="1"/>
  <c r="K252" i="1" s="1"/>
  <c r="G252" i="1"/>
  <c r="J252" i="1" s="1"/>
  <c r="F373" i="1"/>
  <c r="I373" i="1" s="1"/>
  <c r="H373" i="1"/>
  <c r="K373" i="1" s="1"/>
  <c r="G373" i="1"/>
  <c r="J373" i="1" s="1"/>
  <c r="F23" i="1"/>
  <c r="I23" i="1" s="1"/>
  <c r="H23" i="1"/>
  <c r="K23" i="1" s="1"/>
  <c r="G23" i="1"/>
  <c r="J23" i="1" s="1"/>
  <c r="F146" i="1"/>
  <c r="I146" i="1" s="1"/>
  <c r="H146" i="1"/>
  <c r="K146" i="1" s="1"/>
  <c r="G146" i="1"/>
  <c r="J146" i="1" s="1"/>
  <c r="F767" i="1"/>
  <c r="I767" i="1" s="1"/>
  <c r="H767" i="1"/>
  <c r="K767" i="1" s="1"/>
  <c r="G767" i="1"/>
  <c r="J767" i="1" s="1"/>
  <c r="F660" i="1"/>
  <c r="I660" i="1" s="1"/>
  <c r="H660" i="1"/>
  <c r="K660" i="1" s="1"/>
  <c r="G660" i="1"/>
  <c r="J660" i="1" s="1"/>
  <c r="F825" i="1"/>
  <c r="I825" i="1" s="1"/>
  <c r="H825" i="1"/>
  <c r="K825" i="1" s="1"/>
  <c r="G825" i="1"/>
  <c r="J825" i="1" s="1"/>
  <c r="F663" i="1"/>
  <c r="I663" i="1" s="1"/>
  <c r="H663" i="1"/>
  <c r="K663" i="1" s="1"/>
  <c r="G663" i="1"/>
  <c r="J663" i="1" s="1"/>
  <c r="F844" i="1"/>
  <c r="I844" i="1" s="1"/>
  <c r="H844" i="1"/>
  <c r="K844" i="1" s="1"/>
  <c r="G844" i="1"/>
  <c r="J844" i="1" s="1"/>
  <c r="F21" i="1"/>
  <c r="I21" i="1" s="1"/>
  <c r="H21" i="1"/>
  <c r="K21" i="1" s="1"/>
  <c r="G21" i="1"/>
  <c r="J21" i="1" s="1"/>
  <c r="F535" i="1"/>
  <c r="I535" i="1" s="1"/>
  <c r="H535" i="1"/>
  <c r="K535" i="1" s="1"/>
  <c r="G535" i="1"/>
  <c r="J535" i="1" s="1"/>
  <c r="F1587" i="1"/>
  <c r="I1587" i="1" s="1"/>
  <c r="H1587" i="1"/>
  <c r="K1587" i="1" s="1"/>
  <c r="G1587" i="1"/>
  <c r="J1587" i="1" s="1"/>
  <c r="F1239" i="1"/>
  <c r="I1239" i="1" s="1"/>
  <c r="H1239" i="1"/>
  <c r="K1239" i="1" s="1"/>
  <c r="G1239" i="1"/>
  <c r="J1239" i="1" s="1"/>
  <c r="F908" i="1"/>
  <c r="I908" i="1" s="1"/>
  <c r="H908" i="1"/>
  <c r="K908" i="1" s="1"/>
  <c r="G908" i="1"/>
  <c r="J908" i="1" s="1"/>
  <c r="F831" i="1"/>
  <c r="I831" i="1" s="1"/>
  <c r="G831" i="1"/>
  <c r="J831" i="1" s="1"/>
  <c r="H831" i="1"/>
  <c r="K831" i="1" s="1"/>
  <c r="F606" i="1"/>
  <c r="I606" i="1" s="1"/>
  <c r="H606" i="1"/>
  <c r="K606" i="1" s="1"/>
  <c r="G606" i="1"/>
  <c r="J606" i="1" s="1"/>
  <c r="F204" i="1"/>
  <c r="I204" i="1" s="1"/>
  <c r="G204" i="1"/>
  <c r="J204" i="1" s="1"/>
  <c r="H204" i="1"/>
  <c r="K204" i="1" s="1"/>
  <c r="F703" i="1"/>
  <c r="I703" i="1" s="1"/>
  <c r="H703" i="1"/>
  <c r="K703" i="1" s="1"/>
  <c r="G703" i="1"/>
  <c r="J703" i="1" s="1"/>
  <c r="F1204" i="1"/>
  <c r="I1204" i="1" s="1"/>
  <c r="H1204" i="1"/>
  <c r="K1204" i="1" s="1"/>
  <c r="G1204" i="1"/>
  <c r="J1204" i="1" s="1"/>
  <c r="F1142" i="1"/>
  <c r="I1142" i="1" s="1"/>
  <c r="H1142" i="1"/>
  <c r="K1142" i="1" s="1"/>
  <c r="G1142" i="1"/>
  <c r="J1142" i="1" s="1"/>
  <c r="F904" i="1"/>
  <c r="I904" i="1" s="1"/>
  <c r="H904" i="1"/>
  <c r="K904" i="1" s="1"/>
  <c r="G904" i="1"/>
  <c r="J904" i="1" s="1"/>
  <c r="F453" i="1"/>
  <c r="I453" i="1" s="1"/>
  <c r="H453" i="1"/>
  <c r="K453" i="1" s="1"/>
  <c r="G453" i="1"/>
  <c r="J453" i="1" s="1"/>
  <c r="F931" i="1"/>
  <c r="I931" i="1" s="1"/>
  <c r="H931" i="1"/>
  <c r="K931" i="1" s="1"/>
  <c r="G931" i="1"/>
  <c r="J931" i="1" s="1"/>
  <c r="F472" i="1"/>
  <c r="I472" i="1" s="1"/>
  <c r="H472" i="1"/>
  <c r="K472" i="1" s="1"/>
  <c r="G472" i="1"/>
  <c r="J472" i="1" s="1"/>
  <c r="F329" i="1"/>
  <c r="I329" i="1" s="1"/>
  <c r="H329" i="1"/>
  <c r="K329" i="1" s="1"/>
  <c r="G329" i="1"/>
  <c r="J329" i="1" s="1"/>
  <c r="F1112" i="1"/>
  <c r="I1112" i="1" s="1"/>
  <c r="G1112" i="1"/>
  <c r="J1112" i="1" s="1"/>
  <c r="H1112" i="1"/>
  <c r="K1112" i="1" s="1"/>
  <c r="F566" i="1"/>
  <c r="I566" i="1" s="1"/>
  <c r="H566" i="1"/>
  <c r="K566" i="1" s="1"/>
  <c r="G566" i="1"/>
  <c r="J566" i="1" s="1"/>
  <c r="F1345" i="1"/>
  <c r="I1345" i="1" s="1"/>
  <c r="H1345" i="1"/>
  <c r="K1345" i="1" s="1"/>
  <c r="G1345" i="1"/>
  <c r="J1345" i="1" s="1"/>
  <c r="F850" i="1"/>
  <c r="I850" i="1" s="1"/>
  <c r="H850" i="1"/>
  <c r="K850" i="1" s="1"/>
  <c r="G850" i="1"/>
  <c r="J850" i="1" s="1"/>
  <c r="F758" i="1"/>
  <c r="I758" i="1" s="1"/>
  <c r="H758" i="1"/>
  <c r="K758" i="1" s="1"/>
  <c r="G758" i="1"/>
  <c r="J758" i="1" s="1"/>
  <c r="F1340" i="1"/>
  <c r="I1340" i="1" s="1"/>
  <c r="G1340" i="1"/>
  <c r="J1340" i="1" s="1"/>
  <c r="H1340" i="1"/>
  <c r="K1340" i="1" s="1"/>
  <c r="F815" i="1"/>
  <c r="I815" i="1" s="1"/>
  <c r="G815" i="1"/>
  <c r="J815" i="1" s="1"/>
  <c r="H815" i="1"/>
  <c r="K815" i="1" s="1"/>
  <c r="F852" i="1"/>
  <c r="I852" i="1" s="1"/>
  <c r="H852" i="1"/>
  <c r="K852" i="1" s="1"/>
  <c r="G852" i="1"/>
  <c r="J852" i="1" s="1"/>
  <c r="F659" i="1"/>
  <c r="I659" i="1" s="1"/>
  <c r="H659" i="1"/>
  <c r="K659" i="1" s="1"/>
  <c r="G659" i="1"/>
  <c r="J659" i="1" s="1"/>
  <c r="F419" i="1"/>
  <c r="I419" i="1" s="1"/>
  <c r="H419" i="1"/>
  <c r="K419" i="1" s="1"/>
  <c r="G419" i="1"/>
  <c r="J419" i="1" s="1"/>
  <c r="F1363" i="1"/>
  <c r="I1363" i="1" s="1"/>
  <c r="G1363" i="1"/>
  <c r="J1363" i="1" s="1"/>
  <c r="H1363" i="1"/>
  <c r="K1363" i="1" s="1"/>
  <c r="F179" i="1"/>
  <c r="I179" i="1" s="1"/>
  <c r="G179" i="1"/>
  <c r="J179" i="1" s="1"/>
  <c r="H179" i="1"/>
  <c r="K179" i="1" s="1"/>
  <c r="F517" i="1"/>
  <c r="I517" i="1" s="1"/>
  <c r="H517" i="1"/>
  <c r="K517" i="1" s="1"/>
  <c r="G517" i="1"/>
  <c r="J517" i="1" s="1"/>
  <c r="F330" i="1"/>
  <c r="I330" i="1" s="1"/>
  <c r="H330" i="1"/>
  <c r="K330" i="1" s="1"/>
  <c r="G330" i="1"/>
  <c r="J330" i="1" s="1"/>
  <c r="F1139" i="1"/>
  <c r="I1139" i="1" s="1"/>
  <c r="H1139" i="1"/>
  <c r="K1139" i="1" s="1"/>
  <c r="G1139" i="1"/>
  <c r="J1139" i="1" s="1"/>
  <c r="F851" i="1"/>
  <c r="I851" i="1" s="1"/>
  <c r="H851" i="1"/>
  <c r="K851" i="1" s="1"/>
  <c r="G851" i="1"/>
  <c r="J851" i="1" s="1"/>
  <c r="F674" i="1"/>
  <c r="I674" i="1" s="1"/>
  <c r="H674" i="1"/>
  <c r="K674" i="1" s="1"/>
  <c r="G674" i="1"/>
  <c r="J674" i="1" s="1"/>
  <c r="F142" i="1"/>
  <c r="I142" i="1" s="1"/>
  <c r="H142" i="1"/>
  <c r="K142" i="1" s="1"/>
  <c r="G142" i="1"/>
  <c r="J142" i="1" s="1"/>
  <c r="F323" i="1"/>
  <c r="I323" i="1" s="1"/>
  <c r="H323" i="1"/>
  <c r="K323" i="1" s="1"/>
  <c r="G323" i="1"/>
  <c r="J323" i="1" s="1"/>
  <c r="F86" i="1"/>
  <c r="I86" i="1" s="1"/>
  <c r="H86" i="1"/>
  <c r="K86" i="1" s="1"/>
  <c r="G86" i="1"/>
  <c r="J86" i="1" s="1"/>
  <c r="F474" i="1"/>
  <c r="I474" i="1" s="1"/>
  <c r="H474" i="1"/>
  <c r="K474" i="1" s="1"/>
  <c r="G474" i="1"/>
  <c r="J474" i="1" s="1"/>
  <c r="F1374" i="1"/>
  <c r="I1374" i="1" s="1"/>
  <c r="H1374" i="1"/>
  <c r="K1374" i="1" s="1"/>
  <c r="G1374" i="1"/>
  <c r="J1374" i="1" s="1"/>
  <c r="F1038" i="1"/>
  <c r="I1038" i="1" s="1"/>
  <c r="G1038" i="1"/>
  <c r="J1038" i="1" s="1"/>
  <c r="H1038" i="1"/>
  <c r="K1038" i="1" s="1"/>
  <c r="F865" i="1"/>
  <c r="I865" i="1" s="1"/>
  <c r="G865" i="1"/>
  <c r="J865" i="1" s="1"/>
  <c r="H865" i="1"/>
  <c r="K865" i="1" s="1"/>
  <c r="F442" i="1"/>
  <c r="I442" i="1" s="1"/>
  <c r="G442" i="1"/>
  <c r="J442" i="1" s="1"/>
  <c r="H442" i="1"/>
  <c r="K442" i="1" s="1"/>
  <c r="F467" i="1"/>
  <c r="I467" i="1" s="1"/>
  <c r="G467" i="1"/>
  <c r="J467" i="1" s="1"/>
  <c r="H467" i="1"/>
  <c r="K467" i="1" s="1"/>
  <c r="F230" i="1"/>
  <c r="I230" i="1" s="1"/>
  <c r="G230" i="1"/>
  <c r="J230" i="1" s="1"/>
  <c r="H230" i="1"/>
  <c r="K230" i="1" s="1"/>
  <c r="F618" i="1"/>
  <c r="I618" i="1" s="1"/>
  <c r="H618" i="1"/>
  <c r="K618" i="1" s="1"/>
  <c r="G618" i="1"/>
  <c r="J618" i="1" s="1"/>
  <c r="F1565" i="1"/>
  <c r="I1565" i="1" s="1"/>
  <c r="H1565" i="1"/>
  <c r="K1565" i="1" s="1"/>
  <c r="G1565" i="1"/>
  <c r="J1565" i="1" s="1"/>
  <c r="F1201" i="1"/>
  <c r="I1201" i="1" s="1"/>
  <c r="H1201" i="1"/>
  <c r="K1201" i="1" s="1"/>
  <c r="G1201" i="1"/>
  <c r="J1201" i="1" s="1"/>
  <c r="F1051" i="1"/>
  <c r="I1051" i="1" s="1"/>
  <c r="H1051" i="1"/>
  <c r="K1051" i="1" s="1"/>
  <c r="G1051" i="1"/>
  <c r="J1051" i="1" s="1"/>
  <c r="F689" i="1"/>
  <c r="I689" i="1" s="1"/>
  <c r="H689" i="1"/>
  <c r="K689" i="1" s="1"/>
  <c r="G689" i="1"/>
  <c r="J689" i="1" s="1"/>
  <c r="F53" i="1"/>
  <c r="I53" i="1" s="1"/>
  <c r="H53" i="1"/>
  <c r="K53" i="1" s="1"/>
  <c r="G53" i="1"/>
  <c r="J53" i="1" s="1"/>
  <c r="F374" i="1"/>
  <c r="I374" i="1" s="1"/>
  <c r="H374" i="1"/>
  <c r="K374" i="1" s="1"/>
  <c r="G374" i="1"/>
  <c r="J374" i="1" s="1"/>
  <c r="F762" i="1"/>
  <c r="I762" i="1" s="1"/>
  <c r="H762" i="1"/>
  <c r="K762" i="1" s="1"/>
  <c r="G762" i="1"/>
  <c r="J762" i="1" s="1"/>
  <c r="J7" i="4" l="1"/>
  <c r="I9" i="4"/>
  <c r="I12" i="4" s="1"/>
  <c r="I13" i="4"/>
  <c r="I14" i="4"/>
  <c r="I15" i="4"/>
  <c r="H16" i="4"/>
  <c r="H19" i="4" s="1"/>
  <c r="I16" i="4" l="1"/>
  <c r="I19" i="4" s="1"/>
  <c r="K7" i="4"/>
  <c r="J13" i="4"/>
  <c r="J9" i="4"/>
  <c r="J12" i="4" s="1"/>
  <c r="J15" i="4"/>
  <c r="J14" i="4"/>
  <c r="J16" i="4" l="1"/>
  <c r="J19" i="4" s="1"/>
  <c r="K13" i="4"/>
  <c r="K9" i="4"/>
  <c r="K12" i="4" s="1"/>
  <c r="K15" i="4"/>
  <c r="K14" i="4"/>
  <c r="K16" i="4" l="1"/>
  <c r="K19" i="4" l="1"/>
  <c r="K20" i="4"/>
  <c r="K21" i="4" l="1"/>
  <c r="K24" i="4"/>
  <c r="P30" i="4"/>
  <c r="K26" i="4" l="1"/>
  <c r="P33" i="4"/>
  <c r="O21" i="4" l="1"/>
  <c r="P34" i="4"/>
  <c r="P36"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181">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futureMetadata>
  <cellMetadata count="1">
    <bk>
      <rc t="1" v="0"/>
    </bk>
  </cellMetadata>
  <valueMetadata count="318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valueMetadata>
</metadata>
</file>

<file path=xl/sharedStrings.xml><?xml version="1.0" encoding="utf-8"?>
<sst xmlns="http://schemas.openxmlformats.org/spreadsheetml/2006/main" count="141" uniqueCount="124">
  <si>
    <t>Quarter</t>
  </si>
  <si>
    <t>Book Value</t>
  </si>
  <si>
    <t>Total sales</t>
  </si>
  <si>
    <t>Net Income</t>
  </si>
  <si>
    <t>Shares Outstanding</t>
  </si>
  <si>
    <t>Date</t>
  </si>
  <si>
    <t>1Q2020</t>
  </si>
  <si>
    <t>1Q2021</t>
  </si>
  <si>
    <t>2Q2021</t>
  </si>
  <si>
    <t>2Q2022</t>
  </si>
  <si>
    <t>2Q2023</t>
  </si>
  <si>
    <t>3Q2023</t>
  </si>
  <si>
    <t>4Q2024</t>
  </si>
  <si>
    <t>2Q2020</t>
  </si>
  <si>
    <t>3Q2020</t>
  </si>
  <si>
    <t>4Q2020</t>
  </si>
  <si>
    <t>3Q2021</t>
  </si>
  <si>
    <t>4Q2021</t>
  </si>
  <si>
    <t>1Q2022</t>
  </si>
  <si>
    <t>3Q2022</t>
  </si>
  <si>
    <t>4Q2022</t>
  </si>
  <si>
    <t>1Q2023</t>
  </si>
  <si>
    <t>1Q2024</t>
  </si>
  <si>
    <t>3Q2025</t>
  </si>
  <si>
    <t>1Q2026</t>
  </si>
  <si>
    <t>2Q2026</t>
  </si>
  <si>
    <t>4Q2023</t>
  </si>
  <si>
    <t>2Q2025</t>
  </si>
  <si>
    <t>1Q2025</t>
  </si>
  <si>
    <t>2Q2024</t>
  </si>
  <si>
    <t>3Q2024</t>
  </si>
  <si>
    <t>4Q2025</t>
  </si>
  <si>
    <t>EPS</t>
  </si>
  <si>
    <t>Sales Per Share</t>
  </si>
  <si>
    <t>P/E Ratio</t>
  </si>
  <si>
    <t>P/B Ratio</t>
  </si>
  <si>
    <t>P/S Ratio</t>
  </si>
  <si>
    <t>Growth Rate</t>
  </si>
  <si>
    <t>Revenue</t>
  </si>
  <si>
    <t>Revenue Growth</t>
  </si>
  <si>
    <t>EBIT</t>
  </si>
  <si>
    <t>EBIT Margin</t>
  </si>
  <si>
    <t>NOPAT</t>
  </si>
  <si>
    <t>D&amp;A</t>
  </si>
  <si>
    <t>Capex</t>
  </si>
  <si>
    <t>Change in NWC</t>
  </si>
  <si>
    <t>FCFF</t>
  </si>
  <si>
    <t>Discount Factor</t>
  </si>
  <si>
    <t>PV of FCFF</t>
  </si>
  <si>
    <t>Terminal Value</t>
  </si>
  <si>
    <t>Enterprise Value</t>
  </si>
  <si>
    <t>Cash and Investments</t>
  </si>
  <si>
    <t>Debt</t>
  </si>
  <si>
    <t>Equity Value</t>
  </si>
  <si>
    <t>Diluted Shares</t>
  </si>
  <si>
    <t>Tax Rate</t>
  </si>
  <si>
    <t>2022A</t>
  </si>
  <si>
    <t>2023A</t>
  </si>
  <si>
    <t>2024A</t>
  </si>
  <si>
    <t>2025A</t>
  </si>
  <si>
    <t>2026A</t>
  </si>
  <si>
    <t>2027E</t>
  </si>
  <si>
    <t>2028E</t>
  </si>
  <si>
    <t>2029E</t>
  </si>
  <si>
    <t>2030E</t>
  </si>
  <si>
    <t>2031E</t>
  </si>
  <si>
    <t>WACC</t>
  </si>
  <si>
    <t>Terminal Growth</t>
  </si>
  <si>
    <t>Risk free rate</t>
  </si>
  <si>
    <t>Beta</t>
  </si>
  <si>
    <t>Equity Risk Premium</t>
  </si>
  <si>
    <t>Cost of Equity</t>
  </si>
  <si>
    <t>Pre-Tax Cost of Debt</t>
  </si>
  <si>
    <t>Market Value of Equity</t>
  </si>
  <si>
    <t>Market Value of Debt</t>
  </si>
  <si>
    <t>Equity Weight</t>
  </si>
  <si>
    <t>Debt Weight</t>
  </si>
  <si>
    <t>Implied Share Price</t>
  </si>
  <si>
    <t>Terminal Growth/WACC</t>
  </si>
  <si>
    <t>Base Case Implied Share Price</t>
  </si>
  <si>
    <t>NVIDIA Corporation - DCF Valuation</t>
  </si>
  <si>
    <t>VALUATION</t>
  </si>
  <si>
    <t>Historical &amp; Forecast Free Cash Flow to Firm in thousands, except per-share data</t>
  </si>
  <si>
    <t>Historical</t>
  </si>
  <si>
    <t>Estimates</t>
  </si>
  <si>
    <t>Fiscal Year Ending January</t>
  </si>
  <si>
    <t>Valuation Summary</t>
  </si>
  <si>
    <t>Cash &amp; Investments</t>
  </si>
  <si>
    <t>Current Share Price</t>
  </si>
  <si>
    <t>Upside/Downside</t>
  </si>
  <si>
    <r>
      <t xml:space="preserve">Valuation Date: </t>
    </r>
    <r>
      <rPr>
        <i/>
        <sz val="12"/>
        <color theme="1"/>
        <rFont val="Aptos Narrow"/>
        <family val="2"/>
        <scheme val="minor"/>
      </rPr>
      <t>September 2026</t>
    </r>
  </si>
  <si>
    <t>Market price and market-based assumptions as of September 2026</t>
  </si>
  <si>
    <t>Dividend Discount Model</t>
  </si>
  <si>
    <t>Secondary Cross Check</t>
  </si>
  <si>
    <t>Dividend Next Year</t>
  </si>
  <si>
    <t>Discount rate</t>
  </si>
  <si>
    <t>DDM Valuation</t>
  </si>
  <si>
    <t>NVIDIA Corporation - Valuation Summary</t>
  </si>
  <si>
    <r>
      <t xml:space="preserve">Equity Research Valuation - </t>
    </r>
    <r>
      <rPr>
        <b/>
        <i/>
        <sz val="11"/>
        <color theme="0"/>
        <rFont val="Aptos Narrow"/>
        <family val="2"/>
        <scheme val="minor"/>
      </rPr>
      <t>September 2026</t>
    </r>
  </si>
  <si>
    <t>Valuation Method</t>
  </si>
  <si>
    <t>Implied Price</t>
  </si>
  <si>
    <t>Reference</t>
  </si>
  <si>
    <t>FCFF DCF</t>
  </si>
  <si>
    <t>DDM</t>
  </si>
  <si>
    <t>Current Market Price</t>
  </si>
  <si>
    <t>Primary</t>
  </si>
  <si>
    <t>Secondary</t>
  </si>
  <si>
    <t>Market</t>
  </si>
  <si>
    <t>DCF Valuation Bridge</t>
  </si>
  <si>
    <t>DCF Assumptions</t>
  </si>
  <si>
    <t>2027E Revenue Growth</t>
  </si>
  <si>
    <t>2028E Revenue Growth</t>
  </si>
  <si>
    <t>2029E Revenue Growth</t>
  </si>
  <si>
    <t>2030E Revenue Growth</t>
  </si>
  <si>
    <t>2031E Revenue Growth</t>
  </si>
  <si>
    <t>Valuation comparison</t>
  </si>
  <si>
    <t>DCF Implied Price</t>
  </si>
  <si>
    <t>DDM Implied Price</t>
  </si>
  <si>
    <t>DCF Upside/Downside</t>
  </si>
  <si>
    <t>Base Case WACC</t>
  </si>
  <si>
    <t>Base Case Terminal Growth</t>
  </si>
  <si>
    <t>Base Case Implied Price</t>
  </si>
  <si>
    <t>DCF Sensitivity</t>
  </si>
  <si>
    <t>Valuation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</si>
</sst>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00_);_([$$-409]* \(#,##0.00\);_([$$-409]* &quot;-&quot;??_);_(@_)"/>
    <numFmt numFmtId="165" formatCode="&quot;$&quot;#,##0.00"/>
    <numFmt numFmtId="166" formatCode="&quot;$&quot;#,##0"/>
    <numFmt numFmtId="167" formatCode="0.0000"/>
    <numFmt numFmtId="168" formatCode="0.0%"/>
  </numFmts>
  <fonts count="14" x14ac:knownFonts="1">
    <font>
      <sz val="11"/>
      <color theme="1"/>
      <name val="Aptos Narrow"/>
      <family val="2"/>
      <scheme val="minor"/>
    </font>
    <font>
      <b/>
      <sz val="11"/>
      <color theme="1"/>
      <name val="Aptos Narrow"/>
      <family val="2"/>
      <scheme val="minor"/>
    </font>
    <font>
      <sz val="8"/>
      <name val="Aptos Narrow"/>
      <family val="2"/>
      <scheme val="minor"/>
    </font>
    <font>
      <b/>
      <sz val="12"/>
      <color theme="1"/>
      <name val="Aptos Narrow"/>
      <family val="2"/>
      <scheme val="minor"/>
    </font>
    <font>
      <b/>
      <sz val="14"/>
      <color theme="0"/>
      <name val="Aptos Narrow"/>
      <family val="2"/>
      <scheme val="minor"/>
    </font>
    <font>
      <b/>
      <sz val="13"/>
      <color theme="1"/>
      <name val="Aptos Narrow"/>
      <family val="2"/>
      <scheme val="minor"/>
    </font>
    <font>
      <b/>
      <sz val="11"/>
      <color theme="3" tint="0.249977111117893"/>
      <name val="Aptos Narrow"/>
      <family val="2"/>
      <scheme val="minor"/>
    </font>
    <font>
      <sz val="12"/>
      <color theme="1"/>
      <name val="Aptos Narrow"/>
      <family val="2"/>
      <scheme val="minor"/>
    </font>
    <font>
      <i/>
      <sz val="12"/>
      <color theme="1"/>
      <name val="Aptos Narrow"/>
      <family val="2"/>
      <scheme val="minor"/>
    </font>
    <font>
      <sz val="10"/>
      <color theme="1"/>
      <name val="Aptos Narrow"/>
      <family val="2"/>
      <scheme val="minor"/>
    </font>
    <font>
      <b/>
      <sz val="12"/>
      <color theme="0"/>
      <name val="Aptos Narrow"/>
      <family val="2"/>
      <scheme val="minor"/>
    </font>
    <font>
      <i/>
      <sz val="10"/>
      <color theme="0"/>
      <name val="Aptos Narrow"/>
      <family val="2"/>
      <scheme val="minor"/>
    </font>
    <font>
      <b/>
      <sz val="11"/>
      <color theme="0"/>
      <name val="Aptos Narrow"/>
      <family val="2"/>
      <scheme val="minor"/>
    </font>
    <font>
      <b/>
      <i/>
      <sz val="11"/>
      <color theme="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bgColor indexed="64"/>
      </patternFill>
    </fill>
  </fills>
  <borders count="12">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63">
    <xf numFmtId="0" fontId="0" fillId="0" borderId="0" xfId="0"/>
    <xf numFmtId="14" fontId="0" fillId="0" borderId="0" xfId="0" applyNumberFormat="1"/>
    <xf numFmtId="3" fontId="0" fillId="0" borderId="0" xfId="0" applyNumberFormat="1"/>
    <xf numFmtId="2" fontId="0" fillId="0" borderId="0" xfId="0" applyNumberFormat="1"/>
    <xf numFmtId="0" fontId="1" fillId="0" borderId="0" xfId="0" applyFont="1"/>
    <xf numFmtId="10" fontId="0" fillId="0" borderId="0" xfId="0" applyNumberFormat="1"/>
    <xf numFmtId="166" fontId="0" fillId="0" borderId="0" xfId="0" applyNumberFormat="1"/>
    <xf numFmtId="165" fontId="0" fillId="0" borderId="0" xfId="0" applyNumberFormat="1"/>
    <xf numFmtId="9" fontId="0" fillId="0" borderId="0" xfId="0" applyNumberFormat="1"/>
    <xf numFmtId="0" fontId="4" fillId="3" borderId="0" xfId="0" applyFont="1" applyFill="1"/>
    <xf numFmtId="0" fontId="1" fillId="4" borderId="0" xfId="0" applyFont="1" applyFill="1"/>
    <xf numFmtId="0" fontId="1" fillId="5" borderId="0" xfId="0" applyFont="1" applyFill="1"/>
    <xf numFmtId="168" fontId="0" fillId="0" borderId="0" xfId="0" applyNumberFormat="1"/>
    <xf numFmtId="0" fontId="1" fillId="0" borderId="1" xfId="0" applyFont="1" applyBorder="1"/>
    <xf numFmtId="0" fontId="0" fillId="0" borderId="1" xfId="0" applyBorder="1"/>
    <xf numFmtId="167" fontId="0" fillId="0" borderId="1" xfId="0" applyNumberFormat="1" applyBorder="1"/>
    <xf numFmtId="0" fontId="1" fillId="2" borderId="1" xfId="0" applyFont="1" applyFill="1" applyBorder="1"/>
    <xf numFmtId="166" fontId="1" fillId="2" borderId="1" xfId="0" applyNumberFormat="1" applyFont="1" applyFill="1" applyBorder="1"/>
    <xf numFmtId="166" fontId="1" fillId="6" borderId="1" xfId="0" applyNumberFormat="1" applyFont="1" applyFill="1" applyBorder="1"/>
    <xf numFmtId="164" fontId="0" fillId="0" borderId="0" xfId="0" applyNumberFormat="1"/>
    <xf numFmtId="0" fontId="1" fillId="7" borderId="1" xfId="0" applyFont="1" applyFill="1" applyBorder="1"/>
    <xf numFmtId="166" fontId="1" fillId="7" borderId="1" xfId="0" applyNumberFormat="1" applyFont="1" applyFill="1" applyBorder="1"/>
    <xf numFmtId="0" fontId="5" fillId="2" borderId="0" xfId="0" applyFont="1" applyFill="1"/>
    <xf numFmtId="0" fontId="1" fillId="7" borderId="0" xfId="0" applyFont="1" applyFill="1"/>
    <xf numFmtId="0" fontId="1" fillId="6" borderId="0" xfId="0" applyFont="1" applyFill="1"/>
    <xf numFmtId="166" fontId="1" fillId="0" borderId="0" xfId="0" applyNumberFormat="1" applyFont="1"/>
    <xf numFmtId="165" fontId="1" fillId="7" borderId="1" xfId="0" applyNumberFormat="1" applyFont="1" applyFill="1" applyBorder="1"/>
    <xf numFmtId="0" fontId="6" fillId="0" borderId="0" xfId="0" applyFont="1"/>
    <xf numFmtId="10" fontId="6" fillId="0" borderId="0" xfId="0" applyNumberFormat="1" applyFont="1"/>
    <xf numFmtId="0" fontId="3" fillId="2" borderId="0" xfId="0" applyFont="1" applyFill="1"/>
    <xf numFmtId="168" fontId="1" fillId="7" borderId="0" xfId="0" applyNumberFormat="1" applyFont="1" applyFill="1"/>
    <xf numFmtId="9" fontId="1" fillId="4" borderId="0" xfId="0" applyNumberFormat="1" applyFont="1" applyFill="1"/>
    <xf numFmtId="10" fontId="1" fillId="4" borderId="0" xfId="0" applyNumberFormat="1" applyFont="1" applyFill="1"/>
    <xf numFmtId="0" fontId="7" fillId="0" borderId="0" xfId="0" applyFont="1"/>
    <xf numFmtId="0" fontId="3" fillId="0" borderId="0" xfId="0" applyFont="1"/>
    <xf numFmtId="0" fontId="9" fillId="0" borderId="0" xfId="0" applyFont="1"/>
    <xf numFmtId="0" fontId="10" fillId="3" borderId="2" xfId="0" applyFont="1" applyFill="1" applyBorder="1"/>
    <xf numFmtId="0" fontId="3" fillId="0" borderId="3" xfId="0" applyFont="1" applyBorder="1"/>
    <xf numFmtId="0" fontId="11" fillId="3" borderId="4" xfId="0" applyFont="1" applyFill="1" applyBorder="1"/>
    <xf numFmtId="0" fontId="9" fillId="0" borderId="5" xfId="0" applyFont="1" applyBorder="1"/>
    <xf numFmtId="0" fontId="0" fillId="0" borderId="4" xfId="0" applyBorder="1"/>
    <xf numFmtId="0" fontId="0" fillId="0" borderId="5" xfId="0" applyBorder="1"/>
    <xf numFmtId="165" fontId="0" fillId="0" borderId="5" xfId="0" applyNumberFormat="1" applyBorder="1"/>
    <xf numFmtId="10" fontId="0" fillId="0" borderId="5" xfId="0" applyNumberFormat="1" applyBorder="1"/>
    <xf numFmtId="0" fontId="1" fillId="7" borderId="6" xfId="0" applyFont="1" applyFill="1" applyBorder="1"/>
    <xf numFmtId="165" fontId="1" fillId="7" borderId="7" xfId="0" applyNumberFormat="1" applyFont="1" applyFill="1" applyBorder="1"/>
    <xf numFmtId="0" fontId="1" fillId="0" borderId="8" xfId="0" applyFont="1" applyBorder="1"/>
    <xf numFmtId="166" fontId="1" fillId="0" borderId="8" xfId="0" applyNumberFormat="1" applyFont="1" applyBorder="1"/>
    <xf numFmtId="165" fontId="1" fillId="0" borderId="8" xfId="0" applyNumberFormat="1" applyFont="1" applyBorder="1"/>
    <xf numFmtId="0" fontId="1" fillId="7" borderId="8" xfId="0" applyFont="1" applyFill="1" applyBorder="1"/>
    <xf numFmtId="10" fontId="1" fillId="7" borderId="8" xfId="0" applyNumberFormat="1" applyFont="1" applyFill="1" applyBorder="1"/>
    <xf numFmtId="9" fontId="1" fillId="0" borderId="8" xfId="0" applyNumberFormat="1" applyFont="1" applyBorder="1"/>
    <xf numFmtId="168" fontId="1" fillId="0" borderId="8" xfId="0" applyNumberFormat="1" applyFont="1" applyBorder="1"/>
    <xf numFmtId="2" fontId="1" fillId="0" borderId="8" xfId="0" applyNumberFormat="1" applyFont="1" applyBorder="1"/>
    <xf numFmtId="2" fontId="1" fillId="7" borderId="8" xfId="0" applyNumberFormat="1" applyFont="1" applyFill="1" applyBorder="1"/>
    <xf numFmtId="165" fontId="1" fillId="0" borderId="9" xfId="0" applyNumberFormat="1" applyFont="1" applyBorder="1"/>
    <xf numFmtId="0" fontId="1" fillId="0" borderId="10" xfId="0" applyFont="1" applyBorder="1"/>
    <xf numFmtId="0" fontId="0" fillId="0" borderId="11" xfId="0" applyBorder="1"/>
    <xf numFmtId="0" fontId="1" fillId="0" borderId="11" xfId="0" applyFont="1" applyBorder="1"/>
    <xf numFmtId="9" fontId="1" fillId="0" borderId="0" xfId="0" applyNumberFormat="1" applyFont="1"/>
    <xf numFmtId="0" fontId="0" fillId="0" borderId="0" xfId="0" applyAlignment="1">
      <alignment horizontal="center"/>
    </xf>
    <xf numFmtId="0" fontId="10" fillId="3" borderId="0" xfId="0" applyFont="1" applyFill="1"/>
    <xf numFmtId="0" fontId="1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Array" Target="richData/rdarray.xml"/><Relationship Id="rId5" Type="http://schemas.openxmlformats.org/officeDocument/2006/relationships/theme" Target="theme/theme1.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drawings/drawing1.xml><?xml version="1.0" encoding="utf-8"?>
<xdr:wsDr xmlns:xdr="http://schemas.openxmlformats.org/drawingml/2006/spreadsheetDrawing" xmlns:a="http://schemas.openxmlformats.org/drawingml/2006/main">
  <xdr:twoCellAnchor>
    <xdr:from>
      <xdr:col>0</xdr:col>
      <xdr:colOff>18405</xdr:colOff>
      <xdr:row>26</xdr:row>
      <xdr:rowOff>7547</xdr:rowOff>
    </xdr:from>
    <xdr:to>
      <xdr:col>11</xdr:col>
      <xdr:colOff>248477</xdr:colOff>
      <xdr:row>34</xdr:row>
      <xdr:rowOff>75819</xdr:rowOff>
    </xdr:to>
    <xdr:sp macro="" textlink="">
      <xdr:nvSpPr>
        <xdr:cNvPr id="2" name="TextBox 1">
          <a:extLst>
            <a:ext uri="{FF2B5EF4-FFF2-40B4-BE49-F238E27FC236}">
              <a16:creationId xmlns:a16="http://schemas.microsoft.com/office/drawing/2014/main" id="{BFA453B0-95ED-83CD-47D6-31C02AE53326}"/>
            </a:ext>
          </a:extLst>
        </xdr:cNvPr>
        <xdr:cNvSpPr txBox="1"/>
      </xdr:nvSpPr>
      <xdr:spPr>
        <a:xfrm>
          <a:off x="18405" y="4708443"/>
          <a:ext cx="9252759" cy="1508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r-HR" sz="1100"/>
            <a:t>DCF</a:t>
          </a:r>
          <a:r>
            <a:rPr lang="hr-HR" sz="1100" baseline="0"/>
            <a:t> </a:t>
          </a:r>
          <a:r>
            <a:rPr lang="hr-HR" sz="1100"/>
            <a:t>- The FCFF DCF produces an implied value of approximately $170.86</a:t>
          </a:r>
          <a:r>
            <a:rPr lang="hr-HR" sz="1100" baseline="0"/>
            <a:t> per share under the base-case assumptions, compared with the current market price of approximately $212.17.</a:t>
          </a:r>
          <a:endParaRPr lang="hr-HR" sz="1100"/>
        </a:p>
        <a:p>
          <a:endParaRPr lang="hr-HR" sz="1100"/>
        </a:p>
        <a:p>
          <a:r>
            <a:rPr lang="hr-HR" sz="1100"/>
            <a:t>DDM - The DDM produces</a:t>
          </a:r>
          <a:r>
            <a:rPr lang="hr-HR" sz="1100" baseline="0"/>
            <a:t> a substantially lower value of approximately $9.85 per share, reflecting NVIDIA`s dividend profile and the fact that dividends represent only part of its overall capital returns.</a:t>
          </a:r>
          <a:endParaRPr lang="hr-HR" sz="1100"/>
        </a:p>
        <a:p>
          <a:endParaRPr lang="hr-HR" sz="1100"/>
        </a:p>
        <a:p>
          <a:r>
            <a:rPr lang="hr-HR" sz="1100"/>
            <a:t>Sensitivity - The DCF valuation</a:t>
          </a:r>
          <a:r>
            <a:rPr lang="hr-HR" sz="1100" baseline="0"/>
            <a:t> is sensitive to WACC and terminal growth assumptions, which should be considered when interpreting the base-case valuation.</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17</xdr:col>
      <xdr:colOff>402850</xdr:colOff>
      <xdr:row>7</xdr:row>
      <xdr:rowOff>160183</xdr:rowOff>
    </xdr:to>
    <xdr:sp macro="" textlink="">
      <xdr:nvSpPr>
        <xdr:cNvPr id="2" name="TextBox 1">
          <a:extLst>
            <a:ext uri="{FF2B5EF4-FFF2-40B4-BE49-F238E27FC236}">
              <a16:creationId xmlns:a16="http://schemas.microsoft.com/office/drawing/2014/main" id="{AE6032DD-C1BF-AF9E-0DA8-220239C00FBC}"/>
            </a:ext>
          </a:extLst>
        </xdr:cNvPr>
        <xdr:cNvSpPr txBox="1"/>
      </xdr:nvSpPr>
      <xdr:spPr>
        <a:xfrm>
          <a:off x="2874570" y="0"/>
          <a:ext cx="9839086" cy="1471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effectLst/>
              <a:latin typeface="Aptos Narrow" panose="020B0004020202020204" pitchFamily="34" charset="0"/>
            </a:rPr>
            <a:t>DDM limitation:</a:t>
          </a:r>
          <a:r>
            <a:rPr lang="en-US" sz="1100" b="0" i="0" u="none" strike="noStrike">
              <a:solidFill>
                <a:srgbClr val="000000"/>
              </a:solidFill>
              <a:effectLst/>
              <a:latin typeface="Aptos Narrow" panose="020B0004020202020204" pitchFamily="34" charset="0"/>
            </a:rPr>
            <a:t> NVIDIA has historically returned substantial capital through share repurchases in addition to dividends, making dividend-based</a:t>
          </a:r>
          <a:r>
            <a:rPr lang="en-US">
              <a:effectLst/>
            </a:rPr>
            <a:t> </a:t>
          </a:r>
          <a:r>
            <a:rPr lang="hr-HR">
              <a:effectLst/>
            </a:rPr>
            <a:t>valuation less representative of total</a:t>
          </a:r>
          <a:r>
            <a:rPr lang="hr-HR" baseline="0">
              <a:effectLst/>
            </a:rPr>
            <a:t> shareholder returns.</a:t>
          </a:r>
        </a:p>
        <a:p>
          <a:endParaRPr lang="hr-HR" sz="1100" baseline="0">
            <a:effectLst/>
          </a:endParaRPr>
        </a:p>
        <a:p>
          <a:r>
            <a:rPr lang="en-US" sz="1100" b="1" i="0" u="none" strike="noStrike">
              <a:solidFill>
                <a:srgbClr val="000000"/>
              </a:solidFill>
              <a:effectLst/>
              <a:latin typeface="Aptos Narrow" panose="020B0004020202020204" pitchFamily="34" charset="0"/>
            </a:rPr>
            <a:t>Perpetual growth:</a:t>
          </a:r>
          <a:r>
            <a:rPr lang="en-US" sz="1100" b="0" i="0" u="none" strike="noStrike">
              <a:solidFill>
                <a:srgbClr val="000000"/>
              </a:solidFill>
              <a:effectLst/>
              <a:latin typeface="Aptos Narrow" panose="020B0004020202020204" pitchFamily="34" charset="0"/>
            </a:rPr>
            <a:t> A 4.0% long-term dividend growth-rate is used rather than historical earnings growth, which is not considered sustainable</a:t>
          </a:r>
          <a:r>
            <a:rPr lang="en-US">
              <a:effectLst/>
            </a:rPr>
            <a:t> </a:t>
          </a:r>
          <a:r>
            <a:rPr lang="hr-HR">
              <a:effectLst/>
            </a:rPr>
            <a:t>as a perpetual growth assumption.</a:t>
          </a:r>
        </a:p>
        <a:p>
          <a:endParaRPr lang="hr-HR" sz="1100" baseline="0">
            <a:effectLst/>
          </a:endParaRPr>
        </a:p>
        <a:p>
          <a:r>
            <a:rPr lang="en-US" sz="1100" b="1" i="0" u="none" strike="noStrike">
              <a:solidFill>
                <a:schemeClr val="dk1"/>
              </a:solidFill>
              <a:effectLst/>
              <a:latin typeface="+mn-lt"/>
              <a:ea typeface="+mn-ea"/>
              <a:cs typeface="+mn-cs"/>
            </a:rPr>
            <a:t>Role in Valuation:</a:t>
          </a:r>
          <a:r>
            <a:rPr lang="en-US" sz="1100" b="0" i="0" u="none" strike="noStrike">
              <a:solidFill>
                <a:schemeClr val="dk1"/>
              </a:solidFill>
              <a:effectLst/>
              <a:latin typeface="+mn-lt"/>
              <a:ea typeface="+mn-ea"/>
              <a:cs typeface="+mn-cs"/>
            </a:rPr>
            <a:t> DDM is included as a secondary cross-check. The FCFF DCF is the primary valuation methodology because it captures cash flows</a:t>
          </a:r>
          <a:r>
            <a:rPr lang="en-US">
              <a:effectLst/>
            </a:rPr>
            <a:t> </a:t>
          </a:r>
          <a:r>
            <a:rPr lang="hr-HR">
              <a:effectLst/>
            </a:rPr>
            <a:t>available to all capital providers.</a:t>
          </a:r>
          <a:endParaRPr lang="hr-HR" sz="1100" baseline="0">
            <a:effectLst/>
          </a:endParaRP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
  <a r="1" c="1606">
    <v t="i">0</v>
    <v t="i">1</v>
    <v t="i">2</v>
    <v t="i">3</v>
    <v t="i">4</v>
    <v t="i">7</v>
    <v t="i">8</v>
    <v t="i">9</v>
    <v t="i">10</v>
    <v t="i">11</v>
    <v t="i">14</v>
    <v t="i">15</v>
    <v t="i">16</v>
    <v t="i">17</v>
    <v t="i">18</v>
    <v t="i">21</v>
    <v t="i">22</v>
    <v t="i">23</v>
    <v t="i">24</v>
    <v t="i">25</v>
    <v t="i">29</v>
    <v t="i">30</v>
    <v t="i">31</v>
    <v t="i">32</v>
    <v t="i">35</v>
    <v t="i">36</v>
    <v t="i">37</v>
    <v t="i">38</v>
    <v t="i">39</v>
    <v t="i">42</v>
    <v t="i">43</v>
    <v t="i">44</v>
    <v t="i">45</v>
    <v t="i">46</v>
    <v t="i">49</v>
    <v t="i">50</v>
    <v t="i">51</v>
    <v t="i">52</v>
    <v t="i">53</v>
    <v t="i">56</v>
    <v t="i">57</v>
    <v t="i">58</v>
    <v t="i">59</v>
    <v t="i">60</v>
    <v t="i">63</v>
    <v t="i">64</v>
    <v t="i">65</v>
    <v t="i">66</v>
    <v t="i">70</v>
    <v t="i">71</v>
    <v t="i">72</v>
    <v t="i">73</v>
    <v t="i">74</v>
    <v t="i">77</v>
    <v t="i">78</v>
    <v t="i">79</v>
    <v t="i">80</v>
    <v t="i">81</v>
    <v t="i">84</v>
    <v t="i">85</v>
    <v t="i">86</v>
    <v t="i">87</v>
    <v t="i">88</v>
    <v t="i">91</v>
    <v t="i">92</v>
    <v t="i">93</v>
    <v t="i">94</v>
    <v t="i">95</v>
    <v t="i">98</v>
    <v t="i">99</v>
    <v t="i">100</v>
    <v t="i">101</v>
    <v t="i">102</v>
    <v t="i">105</v>
    <v t="i">106</v>
    <v t="i">107</v>
    <v t="i">108</v>
    <v t="i">109</v>
    <v t="i">112</v>
    <v t="i">113</v>
    <v t="i">114</v>
    <v t="i">115</v>
    <v t="i">116</v>
    <v t="i">119</v>
    <v t="i">120</v>
    <v t="i">121</v>
    <v t="i">122</v>
    <v t="i">123</v>
    <v t="i">126</v>
    <v t="i">127</v>
    <v t="i">128</v>
    <v t="i">129</v>
    <v t="i">130</v>
    <v t="i">134</v>
    <v t="i">135</v>
    <v t="i">136</v>
    <v t="i">137</v>
    <v t="i">140</v>
    <v t="i">141</v>
    <v t="i">142</v>
    <v t="i">143</v>
    <v t="i">144</v>
    <v t="i">147</v>
    <v t="i">148</v>
    <v t="i">149</v>
    <v t="i">150</v>
    <v t="i">151</v>
    <v t="i">154</v>
    <v t="i">155</v>
    <v t="i">156</v>
    <v t="i">157</v>
    <v t="i">158</v>
    <v t="i">161</v>
    <v t="i">162</v>
    <v t="i">163</v>
    <v t="i">164</v>
    <v t="i">165</v>
    <v t="i">168</v>
    <v t="i">169</v>
    <v t="i">170</v>
    <v t="i">171</v>
    <v t="i">172</v>
    <v t="i">175</v>
    <v t="i">176</v>
    <v t="i">177</v>
    <v t="i">178</v>
    <v t="i">179</v>
    <v t="i">182</v>
    <v t="i">183</v>
    <v t="i">184</v>
    <v t="i">185</v>
    <v t="i">186</v>
    <v t="i">189</v>
    <v t="i">190</v>
    <v t="i">191</v>
    <v t="i">192</v>
    <v t="i">193</v>
    <v t="i">196</v>
    <v t="i">197</v>
    <v t="i">198</v>
    <v t="i">199</v>
    <v t="i">200</v>
    <v t="i">203</v>
    <v t="i">204</v>
    <v t="i">205</v>
    <v t="i">206</v>
    <v t="i">207</v>
    <v t="i">210</v>
    <v t="i">211</v>
    <v t="i">212</v>
    <v t="i">214</v>
    <v t="i">217</v>
    <v t="i">218</v>
    <v t="i">219</v>
    <v t="i">220</v>
    <v t="i">221</v>
    <v t="i">224</v>
    <v t="i">225</v>
    <v t="i">226</v>
    <v t="i">227</v>
    <v t="i">228</v>
    <v t="i">231</v>
    <v t="i">232</v>
    <v t="i">233</v>
    <v t="i">234</v>
    <v t="i">235</v>
    <v t="i">238</v>
    <v t="i">239</v>
    <v t="i">240</v>
    <v t="i">241</v>
    <v t="i">245</v>
    <v t="i">246</v>
    <v t="i">247</v>
    <v t="i">248</v>
    <v t="i">252</v>
    <v t="i">253</v>
    <v t="i">254</v>
    <v t="i">255</v>
    <v t="i">256</v>
    <v t="i">259</v>
    <v t="i">260</v>
    <v t="i">261</v>
    <v t="i">262</v>
    <v t="i">263</v>
    <v t="i">267</v>
    <v t="i">268</v>
    <v t="i">269</v>
    <v t="i">270</v>
    <v t="i">273</v>
    <v t="i">274</v>
    <v t="i">275</v>
    <v t="i">276</v>
    <v t="i">277</v>
    <v t="i">280</v>
    <v t="i">281</v>
    <v t="i">282</v>
    <v t="i">283</v>
    <v t="i">284</v>
    <v t="i">287</v>
    <v t="i">288</v>
    <v t="i">289</v>
    <v t="i">290</v>
    <v t="i">291</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343</v>
    <v t="i">344</v>
    <v t="i">345</v>
    <v t="i">346</v>
    <v t="i">347</v>
    <v t="i">350</v>
    <v t="i">351</v>
    <v t="i">352</v>
    <v t="i">353</v>
    <v t="i">354</v>
    <v t="i">357</v>
    <v t="i">358</v>
    <v t="i">359</v>
    <v t="i">360</v>
    <v t="i">361</v>
    <v t="i">364</v>
    <v t="i">365</v>
    <v t="i">366</v>
    <v t="i">367</v>
    <v t="i">368</v>
    <v t="i">371</v>
    <v t="i">372</v>
    <v t="i">373</v>
    <v t="i">374</v>
    <v t="i">375</v>
    <v t="i">378</v>
    <v t="i">379</v>
    <v t="i">380</v>
    <v t="i">381</v>
    <v t="i">382</v>
    <v t="i">385</v>
    <v t="i">386</v>
    <v t="i">387</v>
    <v t="i">388</v>
    <v t="i">389</v>
    <v t="i">392</v>
    <v t="i">393</v>
    <v t="i">394</v>
    <v t="i">395</v>
    <v t="i">396</v>
    <v t="i">400</v>
    <v t="i">401</v>
    <v t="i">402</v>
    <v t="i">403</v>
    <v t="i">406</v>
    <v t="i">407</v>
    <v t="i">408</v>
    <v t="i">409</v>
    <v t="i">410</v>
    <v t="i">413</v>
    <v t="i">414</v>
    <v t="i">415</v>
    <v t="i">416</v>
    <v t="i">417</v>
    <v t="i">420</v>
    <v t="i">421</v>
    <v t="i">422</v>
    <v t="i">423</v>
    <v t="i">424</v>
    <v t="i">427</v>
    <v t="i">428</v>
    <v t="i">429</v>
    <v t="i">430</v>
    <v t="i">431</v>
    <v t="i">435</v>
    <v t="i">436</v>
    <v t="i">437</v>
    <v t="i">438</v>
    <v t="i">441</v>
    <v t="i">442</v>
    <v t="i">443</v>
    <v t="i">444</v>
    <v t="i">445</v>
    <v t="i">448</v>
    <v t="i">449</v>
    <v t="i">450</v>
    <v t="i">451</v>
    <v t="i">452</v>
    <v t="i">455</v>
    <v t="i">456</v>
    <v t="i">457</v>
    <v t="i">458</v>
    <v t="i">459</v>
    <v t="i">462</v>
    <v t="i">463</v>
    <v t="i">464</v>
    <v t="i">465</v>
    <v t="i">466</v>
    <v t="i">469</v>
    <v t="i">470</v>
    <v t="i">471</v>
    <v t="i">472</v>
    <v t="i">473</v>
    <v t="i">476</v>
    <v t="i">477</v>
    <v t="i">478</v>
    <v t="i">479</v>
    <v t="i">480</v>
    <v t="i">483</v>
    <v t="i">484</v>
    <v t="i">485</v>
    <v t="i">486</v>
    <v t="i">487</v>
    <v t="i">490</v>
    <v t="i">491</v>
    <v t="i">492</v>
    <v t="i">493</v>
    <v t="i">494</v>
    <v t="i">498</v>
    <v t="i">499</v>
    <v t="i">500</v>
    <v t="i">501</v>
    <v t="i">504</v>
    <v t="i">505</v>
    <v t="i">506</v>
    <v t="i">507</v>
    <v t="i">508</v>
    <v t="i">511</v>
    <v t="i">512</v>
    <v t="i">513</v>
    <v t="i">514</v>
    <v t="i">515</v>
    <v t="i">518</v>
    <v t="i">519</v>
    <v t="i">520</v>
    <v t="i">521</v>
    <v t="i">522</v>
    <v t="i">525</v>
    <v t="i">526</v>
    <v t="i">527</v>
    <v t="i">528</v>
    <v t="i">529</v>
    <v t="i">532</v>
    <v t="i">533</v>
    <v t="i">534</v>
    <v t="i">535</v>
    <v t="i">536</v>
    <v t="i">539</v>
    <v t="i">540</v>
    <v t="i">541</v>
    <v t="i">542</v>
    <v t="i">543</v>
    <v t="i">546</v>
    <v t="i">547</v>
    <v t="i">548</v>
    <v t="i">549</v>
    <v t="i">550</v>
    <v t="i">553</v>
    <v t="i">554</v>
    <v t="i">555</v>
    <v t="i">556</v>
    <v t="i">557</v>
    <v t="i">560</v>
    <v t="i">561</v>
    <v t="i">562</v>
    <v t="i">563</v>
    <v t="i">564</v>
    <v t="i">567</v>
    <v t="i">568</v>
    <v t="i">569</v>
    <v t="i">570</v>
    <v t="i">571</v>
    <v t="i">574</v>
    <v t="i">575</v>
    <v t="i">576</v>
    <v t="i">578</v>
    <v t="i">581</v>
    <v t="i">582</v>
    <v t="i">583</v>
    <v t="i">584</v>
    <v t="i">585</v>
    <v t="i">588</v>
    <v t="i">589</v>
    <v t="i">590</v>
    <v t="i">591</v>
    <v t="i">592</v>
    <v t="i">595</v>
    <v t="i">596</v>
    <v t="i">597</v>
    <v t="i">598</v>
    <v t="i">599</v>
    <v t="i">602</v>
    <v t="i">603</v>
    <v t="i">604</v>
    <v t="i">605</v>
    <v t="i">609</v>
    <v t="i">610</v>
    <v t="i">611</v>
    <v t="i">612</v>
    <v t="i">613</v>
    <v t="i">616</v>
    <v t="i">617</v>
    <v t="i">618</v>
    <v t="i">619</v>
    <v t="i">620</v>
    <v t="i">623</v>
    <v t="i">624</v>
    <v t="i">625</v>
    <v t="i">626</v>
    <v t="i">627</v>
    <v t="i">631</v>
    <v t="i">632</v>
    <v t="i">633</v>
    <v t="i">634</v>
    <v t="i">637</v>
    <v t="i">638</v>
    <v t="i">639</v>
    <v t="i">640</v>
    <v t="i">641</v>
    <v t="i">644</v>
    <v t="i">645</v>
    <v t="i">646</v>
    <v t="i">647</v>
    <v t="i">648</v>
    <v t="i">651</v>
    <v t="i">652</v>
    <v t="i">653</v>
    <v t="i">654</v>
    <v t="i">655</v>
    <v t="i">658</v>
    <v t="i">659</v>
    <v t="i">660</v>
    <v t="i">661</v>
    <v t="i">662</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721</v>
    <v t="i">722</v>
    <v t="i">723</v>
    <v t="i">724</v>
    <v t="i">725</v>
    <v t="i">728</v>
    <v t="i">729</v>
    <v t="i">730</v>
    <v t="i">731</v>
    <v t="i">732</v>
    <v t="i">735</v>
    <v t="i">736</v>
    <v t="i">737</v>
    <v t="i">738</v>
    <v t="i">739</v>
    <v t="i">742</v>
    <v t="i">743</v>
    <v t="i">744</v>
    <v t="i">745</v>
    <v t="i">746</v>
    <v t="i">749</v>
    <v t="i">750</v>
    <v t="i">751</v>
    <v t="i">752</v>
    <v t="i">753</v>
    <v t="i">756</v>
    <v t="i">757</v>
    <v t="i">758</v>
    <v t="i">759</v>
    <v t="i">760</v>
    <v t="i">764</v>
    <v t="i">765</v>
    <v t="i">766</v>
    <v t="i">767</v>
    <v t="i">770</v>
    <v t="i">771</v>
    <v t="i">772</v>
    <v t="i">773</v>
    <v t="i">774</v>
    <v t="i">777</v>
    <v t="i">778</v>
    <v t="i">779</v>
    <v t="i">780</v>
    <v t="i">781</v>
    <v t="i">785</v>
    <v t="i">786</v>
    <v t="i">787</v>
    <v t="i">788</v>
    <v t="i">791</v>
    <v t="i">792</v>
    <v t="i">793</v>
    <v t="i">794</v>
    <v t="i">795</v>
    <v t="i">799</v>
    <v t="i">800</v>
    <v t="i">801</v>
    <v t="i">802</v>
    <v t="i">805</v>
    <v t="i">806</v>
    <v t="i">807</v>
    <v t="i">808</v>
    <v t="i">809</v>
    <v t="i">812</v>
    <v t="i">813</v>
    <v t="i">814</v>
    <v t="i">815</v>
    <v t="i">816</v>
    <v t="i">819</v>
    <v t="i">820</v>
    <v t="i">821</v>
    <v t="i">822</v>
    <v t="i">823</v>
    <v t="i">826</v>
    <v t="i">827</v>
    <v t="i">828</v>
    <v t="i">829</v>
    <v t="i">830</v>
    <v t="i">833</v>
    <v t="i">834</v>
    <v t="i">835</v>
    <v t="i">836</v>
    <v t="i">837</v>
    <v t="i">840</v>
    <v t="i">841</v>
    <v t="i">842</v>
    <v t="i">843</v>
    <v t="i">844</v>
    <v t="i">847</v>
    <v t="i">848</v>
    <v t="i">849</v>
    <v t="i">850</v>
    <v t="i">851</v>
    <v t="i">854</v>
    <v t="i">855</v>
    <v t="i">856</v>
    <v t="i">857</v>
    <v t="i">858</v>
    <v t="i">862</v>
    <v t="i">863</v>
    <v t="i">864</v>
    <v t="i">865</v>
    <v t="i">868</v>
    <v t="i">869</v>
    <v t="i">870</v>
    <v t="i">871</v>
    <v t="i">872</v>
    <v t="i">875</v>
    <v t="i">876</v>
    <v t="i">877</v>
    <v t="i">878</v>
    <v t="i">879</v>
    <v t="i">882</v>
    <v t="i">883</v>
    <v t="i">884</v>
    <v t="i">885</v>
    <v t="i">886</v>
    <v t="i">889</v>
    <v t="i">890</v>
    <v t="i">891</v>
    <v t="i">892</v>
    <v t="i">893</v>
    <v t="i">896</v>
    <v t="i">897</v>
    <v t="i">898</v>
    <v t="i">899</v>
    <v t="i">900</v>
    <v t="i">903</v>
    <v t="i">904</v>
    <v t="i">905</v>
    <v t="i">906</v>
    <v t="i">907</v>
    <v t="i">910</v>
    <v t="i">911</v>
    <v t="i">912</v>
    <v t="i">913</v>
    <v t="i">914</v>
    <v t="i">917</v>
    <v t="i">918</v>
    <v t="i">919</v>
    <v t="i">920</v>
    <v t="i">921</v>
    <v t="i">924</v>
    <v t="i">925</v>
    <v t="i">926</v>
    <v t="i">927</v>
    <v t="i">928</v>
    <v t="i">931</v>
    <v t="i">932</v>
    <v t="i">933</v>
    <v t="i">934</v>
    <v t="i">935</v>
    <v t="i">938</v>
    <v t="i">939</v>
    <v t="i">940</v>
    <v t="i">942</v>
    <v t="i">945</v>
    <v t="i">946</v>
    <v t="i">947</v>
    <v t="i">948</v>
    <v t="i">949</v>
    <v t="i">952</v>
    <v t="i">953</v>
    <v t="i">954</v>
    <v t="i">955</v>
    <v t="i">956</v>
    <v t="i">959</v>
    <v t="i">960</v>
    <v t="i">961</v>
    <v t="i">962</v>
    <v t="i">963</v>
    <v t="i">966</v>
    <v t="i">967</v>
    <v t="i">968</v>
    <v t="i">969</v>
    <v t="i">970</v>
    <v t="i">974</v>
    <v t="i">975</v>
    <v t="i">976</v>
    <v t="i">977</v>
    <v t="i">981</v>
    <v t="i">982</v>
    <v t="i">983</v>
    <v t="i">984</v>
    <v t="i">987</v>
    <v t="i">988</v>
    <v t="i">989</v>
    <v t="i">990</v>
    <v t="i">991</v>
    <v t="i">995</v>
    <v t="i">996</v>
    <v t="i">997</v>
    <v t="i">998</v>
    <v t="i">1001</v>
    <v t="i">1002</v>
    <v t="i">1003</v>
    <v t="i">1004</v>
    <v t="i">1005</v>
    <v t="i">1008</v>
    <v t="i">1009</v>
    <v t="i">1010</v>
    <v t="i">1011</v>
    <v t="i">1012</v>
    <v t="i">1015</v>
    <v t="i">1016</v>
    <v t="i">1017</v>
    <v t="i">1018</v>
    <v t="i">1019</v>
    <v t="i">1022</v>
    <v t="i">1023</v>
    <v t="i">1024</v>
    <v t="i">1025</v>
    <v t="i">1026</v>
    <v t="i">1030</v>
    <v t="i">1031</v>
    <v t="i">1032</v>
    <v t="i">1033</v>
    <v t="i">1036</v>
    <v t="i">1037</v>
    <v t="i">1038</v>
    <v t="i">1039</v>
    <v t="i">1040</v>
    <v t="i">1043</v>
    <v t="i">1044</v>
    <v t="i">1045</v>
    <v t="i">1046</v>
    <v t="i">1047</v>
    <v t="i">1050</v>
    <v t="i">1051</v>
    <v t="i">1052</v>
    <v t="i">1053</v>
    <v t="i">1054</v>
    <v t="i">1057</v>
    <v t="i">1058</v>
    <v t="i">1059</v>
    <v t="i">1060</v>
    <v t="i">1061</v>
    <v t="i">1064</v>
    <v t="i">1065</v>
    <v t="i">1066</v>
    <v t="i">1067</v>
    <v t="i">1068</v>
    <v t="i">1071</v>
    <v t="i">1072</v>
    <v t="i">1073</v>
    <v t="i">1074</v>
    <v t="i">1078</v>
    <v t="i">1079</v>
    <v t="i">1080</v>
    <v t="i">1081</v>
    <v t="i">1082</v>
    <v t="i">1085</v>
    <v t="i">1086</v>
    <v t="i">1087</v>
    <v t="i">1088</v>
    <v t="i">1089</v>
    <v t="i">1092</v>
    <v t="i">1093</v>
    <v t="i">1094</v>
    <v t="i">1095</v>
    <v t="i">1096</v>
    <v t="i">1099</v>
    <v t="i">1100</v>
    <v t="i">1101</v>
    <v t="i">1102</v>
    <v t="i">1103</v>
    <v t="i">1106</v>
    <v t="i">1107</v>
    <v t="i">1108</v>
    <v t="i">1109</v>
    <v t="i">1110</v>
    <v t="i">1113</v>
    <v t="i">1114</v>
    <v t="i">1115</v>
    <v t="i">1116</v>
    <v t="i">1117</v>
    <v t="i">1120</v>
    <v t="i">1121</v>
    <v t="i">1122</v>
    <v t="i">1123</v>
    <v t="i">1124</v>
    <v t="i">1128</v>
    <v t="i">1129</v>
    <v t="i">1130</v>
    <v t="i">1131</v>
    <v t="i">1134</v>
    <v t="i">1135</v>
    <v t="i">1136</v>
    <v t="i">1137</v>
    <v t="i">1138</v>
    <v t="i">1141</v>
    <v t="i">1142</v>
    <v t="i">1143</v>
    <v t="i">1144</v>
    <v t="i">1145</v>
    <v t="i">1149</v>
    <v t="i">1150</v>
    <v t="i">1151</v>
    <v t="i">1152</v>
    <v t="i">1155</v>
    <v t="i">1156</v>
    <v t="i">1157</v>
    <v t="i">1158</v>
    <v t="i">1159</v>
    <v t="i">1162</v>
    <v t="i">1164</v>
    <v t="i">1165</v>
    <v t="i">1166</v>
    <v t="i">1169</v>
    <v t="i">1170</v>
    <v t="i">1171</v>
    <v t="i">1172</v>
    <v t="i">1173</v>
    <v t="i">1176</v>
    <v t="i">1177</v>
    <v t="i">1178</v>
    <v t="i">1179</v>
    <v t="i">1180</v>
    <v t="i">1183</v>
    <v t="i">1184</v>
    <v t="i">1185</v>
    <v t="i">1186</v>
    <v t="i">1187</v>
    <v t="i">1190</v>
    <v t="i">1191</v>
    <v t="i">1192</v>
    <v t="i">1193</v>
    <v t="i">1194</v>
    <v t="i">1197</v>
    <v t="i">1198</v>
    <v t="i">1199</v>
    <v t="i">1200</v>
    <v t="i">1201</v>
    <v t="i">1204</v>
    <v t="i">1205</v>
    <v t="i">1206</v>
    <v t="i">1207</v>
    <v t="i">1208</v>
    <v t="i">1211</v>
    <v t="i">1212</v>
    <v t="i">1213</v>
    <v t="i">1214</v>
    <v t="i">1215</v>
    <v t="i">1218</v>
    <v t="i">1219</v>
    <v t="i">1220</v>
    <v t="i">1221</v>
    <v t="i">1222</v>
    <v t="i">1226</v>
    <v t="i">1227</v>
    <v t="i">1228</v>
    <v t="i">1229</v>
    <v t="i">1232</v>
    <v t="i">1233</v>
    <v t="i">1234</v>
    <v t="i">1235</v>
    <v t="i">1236</v>
    <v t="i">1239</v>
    <v t="i">1240</v>
    <v t="i">1241</v>
    <v t="i">1242</v>
    <v t="i">1243</v>
    <v t="i">1246</v>
    <v t="i">1247</v>
    <v t="i">1248</v>
    <v t="i">1249</v>
    <v t="i">1250</v>
    <v t="i">1253</v>
    <v t="i">1254</v>
    <v t="i">1255</v>
    <v t="i">1256</v>
    <v t="i">1257</v>
    <v t="i">1260</v>
    <v t="i">1261</v>
    <v t="i">1262</v>
    <v t="i">1263</v>
    <v t="i">1264</v>
    <v t="i">1267</v>
    <v t="i">1268</v>
    <v t="i">1269</v>
    <v t="i">1270</v>
    <v t="i">1271</v>
    <v t="i">1274</v>
    <v t="i">1275</v>
    <v t="i">1276</v>
    <v t="i">1277</v>
    <v t="i">1278</v>
    <v t="i">1281</v>
    <v t="i">1282</v>
    <v t="i">1283</v>
    <v t="i">1284</v>
    <v t="i">1285</v>
    <v t="i">1288</v>
    <v t="i">1289</v>
    <v t="i">1290</v>
    <v t="i">1291</v>
    <v t="i">1292</v>
    <v t="i">1295</v>
    <v t="i">1296</v>
    <v t="i">1297</v>
    <v t="i">1298</v>
    <v t="i">1299</v>
    <v t="i">1302</v>
    <v t="i">1303</v>
    <v t="i">1304</v>
    <v t="i">1306</v>
    <v t="i">1309</v>
    <v t="i">1310</v>
    <v t="i">1311</v>
    <v t="i">1312</v>
    <v t="i">1313</v>
    <v t="i">1316</v>
    <v t="i">1317</v>
    <v t="i">1318</v>
    <v t="i">1319</v>
    <v t="i">1320</v>
    <v t="i">1323</v>
    <v t="i">1324</v>
    <v t="i">1325</v>
    <v t="i">1326</v>
    <v t="i">1327</v>
    <v t="i">1330</v>
    <v t="i">1331</v>
    <v t="i">1332</v>
    <v t="i">1333</v>
    <v t="i">1334</v>
    <v t="i">1338</v>
    <v t="i">1339</v>
    <v t="i">1340</v>
    <v t="i">1341</v>
    <v t="i">1345</v>
    <v t="i">1346</v>
    <v t="i">1347</v>
    <v t="i">1348</v>
    <v t="i">1351</v>
    <v t="i">1352</v>
    <v t="i">1353</v>
    <v t="i">1354</v>
    <v t="i">1355</v>
    <v t="i">1359</v>
    <v t="i">1360</v>
    <v t="i">1361</v>
    <v t="i">1362</v>
    <v t="i">1365</v>
    <v t="i">1366</v>
    <v t="i">1367</v>
    <v t="i">1368</v>
    <v t="i">1369</v>
    <v t="i">1372</v>
    <v t="i">1373</v>
    <v t="i">1374</v>
    <v t="i">1375</v>
    <v t="i">1376</v>
    <v t="i">1379</v>
    <v t="i">1380</v>
    <v t="i">1381</v>
    <v t="i">1382</v>
    <v t="i">1383</v>
    <v t="i">1386</v>
    <v t="i">1387</v>
    <v t="i">1388</v>
    <v t="i">1389</v>
    <v t="i">1390</v>
    <v t="i">1394</v>
    <v t="i">1395</v>
    <v t="i">1396</v>
    <v t="i">1397</v>
    <v t="i">1400</v>
    <v t="i">1401</v>
    <v t="i">1402</v>
    <v t="i">1403</v>
    <v t="i">1404</v>
    <v t="i">1407</v>
    <v t="i">1408</v>
    <v t="i">1409</v>
    <v t="i">1410</v>
    <v t="i">1411</v>
    <v t="i">1414</v>
    <v t="i">1415</v>
    <v t="i">1416</v>
    <v t="i">1417</v>
    <v t="i">1418</v>
    <v t="i">1421</v>
    <v t="i">1422</v>
    <v t="i">1423</v>
    <v t="i">1424</v>
    <v t="i">1425</v>
    <v t="i">1428</v>
    <v t="i">1429</v>
    <v t="i">1430</v>
    <v t="i">1431</v>
    <v t="i">1435</v>
    <v t="i">1436</v>
    <v t="i">1437</v>
    <v t="i">1438</v>
    <v t="i">1439</v>
    <v t="i">1442</v>
    <v t="i">1443</v>
    <v t="i">1444</v>
    <v t="i">1445</v>
    <v t="i">1446</v>
    <v t="i">1449</v>
    <v t="i">1450</v>
    <v t="i">1451</v>
    <v t="i">1452</v>
    <v t="i">1453</v>
    <v t="i">1456</v>
    <v t="i">1457</v>
    <v t="i">1458</v>
    <v t="i">1459</v>
    <v t="i">1460</v>
    <v t="i">1463</v>
    <v t="i">1464</v>
    <v t="i">1465</v>
    <v t="i">1466</v>
    <v t="i">1467</v>
    <v t="i">1470</v>
    <v t="i">1471</v>
    <v t="i">1472</v>
    <v t="i">1473</v>
    <v t="i">1474</v>
    <v t="i">1477</v>
    <v t="i">1478</v>
    <v t="i">1479</v>
    <v t="i">1480</v>
    <v t="i">1481</v>
    <v t="i">1484</v>
    <v t="i">1485</v>
    <v t="i">1486</v>
    <v t="i">1487</v>
    <v t="i">1488</v>
    <v t="i">1492</v>
    <v t="i">1493</v>
    <v t="i">1494</v>
    <v t="i">1495</v>
    <v t="i">1498</v>
    <v t="i">1499</v>
    <v t="i">1500</v>
    <v t="i">1501</v>
    <v t="i">1502</v>
    <v t="i">1505</v>
    <v t="i">1506</v>
    <v t="i">1507</v>
    <v t="i">1508</v>
    <v t="i">1509</v>
    <v t="i">1512</v>
    <v t="i">1513</v>
    <v t="i">1515</v>
    <v t="i">1516</v>
    <v t="i">1519</v>
    <v t="i">1520</v>
    <v t="i">1521</v>
    <v t="i">1522</v>
    <v t="i">1523</v>
    <v t="i">1526</v>
    <v t="i">1527</v>
    <v t="i">1528</v>
    <v t="i">1530</v>
    <v t="i">1533</v>
    <v t="i">1534</v>
    <v t="i">1535</v>
    <v t="i">1536</v>
    <v t="i">1537</v>
    <v t="i">1540</v>
    <v t="i">1541</v>
    <v t="i">1542</v>
    <v t="i">1543</v>
    <v t="i">1544</v>
    <v t="i">1547</v>
    <v t="i">1548</v>
    <v t="i">1549</v>
    <v t="i">1550</v>
    <v t="i">1551</v>
    <v t="i">1554</v>
    <v t="i">1555</v>
    <v t="i">1556</v>
    <v t="i">1557</v>
    <v t="i">1558</v>
    <v t="i">1561</v>
    <v t="i">1562</v>
    <v t="i">1563</v>
    <v t="i">1564</v>
    <v t="i">1565</v>
    <v t="i">1568</v>
    <v t="i">1569</v>
    <v t="i">1570</v>
    <v t="i">1571</v>
    <v t="i">1572</v>
    <v t="i">1575</v>
    <v t="i">1576</v>
    <v t="i">1577</v>
    <v t="i">1578</v>
    <v t="i">1579</v>
    <v t="i">1582</v>
    <v t="i">1583</v>
    <v t="i">1584</v>
    <v t="i">1585</v>
    <v t="i">1586</v>
    <v t="i">1590</v>
    <v t="i">1591</v>
    <v t="i">1592</v>
    <v t="i">1593</v>
    <v t="i">1596</v>
    <v t="i">1597</v>
    <v t="i">1598</v>
    <v t="i">1599</v>
    <v t="i">1600</v>
    <v t="i">1603</v>
    <v t="i">1604</v>
    <v t="i">1605</v>
    <v t="i">1606</v>
    <v t="i">1607</v>
    <v t="i">1610</v>
    <v t="i">1611</v>
    <v t="i">1612</v>
    <v t="i">1613</v>
    <v t="i">1614</v>
    <v t="i">1617</v>
    <v t="i">1618</v>
    <v t="i">1619</v>
    <v t="i">1620</v>
    <v t="i">1621</v>
    <v t="i">1624</v>
    <v t="i">1625</v>
    <v t="i">1626</v>
    <v t="i">1627</v>
    <v t="i">1628</v>
    <v t="i">1631</v>
    <v t="i">1632</v>
    <v t="i">1633</v>
    <v t="i">1634</v>
    <v t="i">1635</v>
    <v t="i">1638</v>
    <v t="i">1639</v>
    <v t="i">1640</v>
    <v t="i">1641</v>
    <v t="i">1642</v>
    <v t="i">1645</v>
    <v t="i">1646</v>
    <v t="i">1647</v>
    <v t="i">1648</v>
    <v t="i">1649</v>
    <v t="i">1652</v>
    <v t="i">1653</v>
    <v t="i">1654</v>
    <v t="i">1655</v>
    <v t="i">1656</v>
    <v t="i">1659</v>
    <v t="i">1660</v>
    <v t="i">1661</v>
    <v t="i">1662</v>
    <v t="i">1663</v>
    <v t="i">1666</v>
    <v t="i">1667</v>
    <v t="i">1668</v>
    <v t="i">1669</v>
    <v t="i">1670</v>
    <v t="i">1673</v>
    <v t="i">1674</v>
    <v t="i">1675</v>
    <v t="i">1677</v>
    <v t="i">1680</v>
    <v t="i">1681</v>
    <v t="i">1682</v>
    <v t="i">1683</v>
    <v t="i">1684</v>
    <v t="i">1687</v>
    <v t="i">1688</v>
    <v t="i">1689</v>
    <v t="i">1690</v>
    <v t="i">1691</v>
    <v t="i">1694</v>
    <v t="i">1695</v>
    <v t="i">1696</v>
    <v t="i">1697</v>
    <v t="i">1698</v>
    <v t="i">1701</v>
    <v t="i">1702</v>
    <v t="i">1704</v>
    <v t="i">1705</v>
    <v t="i">1708</v>
    <v t="i">1709</v>
    <v t="i">1711</v>
    <v t="i">1712</v>
    <v t="i">1715</v>
    <v t="i">1716</v>
    <v t="i">1717</v>
    <v t="i">1719</v>
    <v t="i">1722</v>
    <v t="i">1723</v>
    <v t="i">1724</v>
    <v t="i">1725</v>
    <v t="i">1726</v>
    <v t="i">1730</v>
    <v t="i">1731</v>
    <v t="i">1732</v>
    <v t="i">1733</v>
    <v t="i">1736</v>
    <v t="i">1737</v>
    <v t="i">1738</v>
    <v t="i">1739</v>
    <v t="i">1740</v>
    <v t="i">1743</v>
    <v t="i">1744</v>
    <v t="i">1745</v>
    <v t="i">1746</v>
    <v t="i">1747</v>
    <v t="i">1750</v>
    <v t="i">1751</v>
    <v t="i">1752</v>
    <v t="i">1753</v>
    <v t="i">1754</v>
    <v t="i">1758</v>
    <v t="i">1759</v>
    <v t="i">1760</v>
    <v t="i">1761</v>
    <v t="i">1764</v>
    <v t="i">1765</v>
    <v t="i">1766</v>
    <v t="i">1767</v>
    <v t="i">1768</v>
    <v t="i">1771</v>
    <v t="i">1772</v>
    <v t="i">1773</v>
    <v t="i">1774</v>
    <v t="i">1775</v>
    <v t="i">1778</v>
    <v t="i">1779</v>
    <v t="i">1780</v>
    <v t="i">1781</v>
    <v t="i">1782</v>
    <v t="i">1785</v>
    <v t="i">1786</v>
    <v t="i">1787</v>
    <v t="i">1788</v>
    <v t="i">1789</v>
    <v t="i">1792</v>
    <v t="i">1793</v>
    <v t="i">1794</v>
    <v t="i">1795</v>
    <v t="i">1796</v>
    <v t="i">1799</v>
    <v t="i">1800</v>
    <v t="i">1801</v>
    <v t="i">1802</v>
    <v t="i">1803</v>
    <v t="i">1806</v>
    <v t="i">1807</v>
    <v t="i">1808</v>
    <v t="i">1809</v>
    <v t="i">1810</v>
    <v t="i">1813</v>
    <v t="i">1814</v>
    <v t="i">1815</v>
    <v t="i">1816</v>
    <v t="i">1820</v>
    <v t="i">1821</v>
    <v t="i">1822</v>
    <v t="i">1823</v>
    <v t="i">1824</v>
    <v t="i">1827</v>
    <v t="i">1828</v>
    <v t="i">1829</v>
    <v t="i">1830</v>
    <v t="i">1831</v>
    <v t="i">1834</v>
    <v t="i">1835</v>
    <v t="i">1836</v>
    <v t="i">1837</v>
    <v t="i">1838</v>
    <v t="i">1841</v>
    <v t="i">1842</v>
    <v t="i">1843</v>
    <v t="i">1844</v>
    <v t="i">1845</v>
    <v t="i">1848</v>
    <v t="i">1849</v>
    <v t="i">1850</v>
    <v t="i">1851</v>
    <v t="i">1852</v>
    <v t="i">1856</v>
    <v t="i">1857</v>
    <v t="i">1858</v>
    <v t="i">1859</v>
    <v t="i">1862</v>
    <v t="i">1863</v>
    <v t="i">1864</v>
    <v t="i">1865</v>
    <v t="i">1866</v>
    <v t="i">1869</v>
    <v t="i">1870</v>
    <v t="i">1871</v>
    <v t="i">1872</v>
    <v t="i">1873</v>
    <v t="i">1876</v>
    <v t="i">1877</v>
    <v t="i">1878</v>
    <v t="i">1880</v>
    <v t="i">1883</v>
    <v t="i">1884</v>
    <v t="i">1885</v>
    <v t="i">1886</v>
    <v t="i">1887</v>
    <v t="i">1890</v>
    <v t="i">1891</v>
    <v t="i">1892</v>
    <v t="i">1893</v>
    <v t="i">1897</v>
    <v t="i">1898</v>
    <v t="i">1899</v>
    <v t="i">1900</v>
    <v t="i">1901</v>
    <v t="i">1904</v>
    <v t="i">1905</v>
    <v t="i">1906</v>
    <v t="i">1907</v>
    <v t="i">1908</v>
    <v t="i">1911</v>
    <v t="i">1912</v>
    <v t="i">1913</v>
    <v t="i">1914</v>
    <v t="i">1915</v>
    <v t="i">1918</v>
    <v t="i">1919</v>
    <v t="i">1920</v>
    <v t="i">1921</v>
    <v t="i">1922</v>
    <v t="i">1925</v>
    <v t="i">1926</v>
    <v t="i">1927</v>
    <v t="i">1928</v>
    <v t="i">1929</v>
    <v t="i">1932</v>
    <v t="i">1933</v>
    <v t="i">1934</v>
    <v t="i">1935</v>
    <v t="i">1936</v>
    <v t="i">1939</v>
    <v t="i">1940</v>
    <v t="i">1941</v>
    <v t="i">1942</v>
    <v t="i">1943</v>
    <v t="i">1946</v>
    <v t="i">1947</v>
    <v t="i">1948</v>
    <v t="i">1949</v>
    <v t="i">1950</v>
    <v t="i">1954</v>
    <v t="i">1955</v>
    <v t="i">1956</v>
    <v t="i">1957</v>
    <v t="i">1960</v>
    <v t="i">1961</v>
    <v t="i">1962</v>
    <v t="i">1963</v>
    <v t="i">1964</v>
    <v t="i">1967</v>
    <v t="i">1968</v>
    <v t="i">1969</v>
    <v t="i">1970</v>
    <v t="i">1971</v>
    <v t="i">1974</v>
    <v t="i">1975</v>
    <v t="i">1976</v>
    <v t="i">1977</v>
    <v t="i">1978</v>
    <v t="i">1981</v>
    <v t="i">1982</v>
    <v t="i">1983</v>
    <v t="i">1984</v>
    <v t="i">1985</v>
    <v t="i">1988</v>
    <v t="i">1989</v>
    <v t="i">1990</v>
    <v t="i">1991</v>
    <v t="i">1992</v>
    <v t="i">1995</v>
    <v t="i">1996</v>
    <v t="i">1997</v>
    <v t="i">1998</v>
    <v t="i">1999</v>
    <v t="i">2002</v>
    <v t="i">2003</v>
    <v t="i">2004</v>
    <v t="i">2005</v>
    <v t="i">2006</v>
    <v t="i">2009</v>
    <v t="i">2010</v>
    <v t="i">2011</v>
    <v t="i">2012</v>
    <v t="i">2013</v>
    <v t="i">2016</v>
    <v t="i">2017</v>
    <v t="i">2018</v>
    <v t="i">2019</v>
    <v t="i">2020</v>
    <v t="i">2023</v>
    <v t="i">2024</v>
    <v t="i">2025</v>
    <v t="i">2026</v>
    <v t="i">2027</v>
    <v t="i">2030</v>
    <v t="i">2031</v>
    <v t="i">2032</v>
    <v t="i">2033</v>
    <v t="i">2034</v>
    <v t="i">2037</v>
    <v t="i">2038</v>
    <v t="i">2039</v>
    <v t="i">2041</v>
    <v t="i">2044</v>
    <v t="i">2045</v>
    <v t="i">2046</v>
    <v t="i">2047</v>
    <v t="i">2048</v>
    <v t="i">2051</v>
    <v t="i">2052</v>
    <v t="i">2053</v>
    <v t="i">2054</v>
    <v t="i">2055</v>
    <v t="i">2058</v>
    <v t="i">2059</v>
    <v t="i">2060</v>
    <v t="i">2061</v>
    <v t="i">2062</v>
    <v t="i">2065</v>
    <v t="i">2066</v>
    <v t="i">2067</v>
    <v t="i">2069</v>
    <v t="i">2072</v>
    <v t="i">2073</v>
    <v t="i">2074</v>
    <v t="i">2076</v>
    <v t="i">2079</v>
    <v t="i">2080</v>
    <v t="i">2081</v>
    <v t="i">2082</v>
    <v t="i">2083</v>
    <v t="i">2086</v>
    <v t="i">2087</v>
    <v t="i">2088</v>
    <v t="i">2089</v>
    <v t="i">2090</v>
    <v t="i">2094</v>
    <v t="i">2095</v>
    <v t="i">2096</v>
    <v t="i">2097</v>
    <v t="i">2100</v>
    <v t="i">2101</v>
    <v t="i">2102</v>
    <v t="i">2103</v>
    <v t="i">2104</v>
    <v t="i">2107</v>
    <v t="i">2108</v>
    <v t="i">2109</v>
    <v t="i">2110</v>
    <v t="i">2111</v>
    <v t="i">2114</v>
    <v t="i">2115</v>
    <v t="i">2116</v>
    <v t="i">2117</v>
    <v t="i">2118</v>
    <v t="i">2122</v>
    <v t="i">2123</v>
    <v t="i">2124</v>
    <v t="i">2125</v>
    <v t="i">2128</v>
    <v t="i">2129</v>
    <v t="i">2130</v>
    <v t="i">2131</v>
    <v t="i">2132</v>
    <v t="i">2135</v>
    <v t="i">2136</v>
    <v t="i">2137</v>
    <v t="i">2138</v>
    <v t="i">2139</v>
    <v t="i">2142</v>
    <v t="i">2143</v>
    <v t="i">2144</v>
    <v t="i">2145</v>
    <v t="i">2146</v>
    <v t="i">2149</v>
    <v t="i">2150</v>
    <v t="i">2151</v>
    <v t="i">2152</v>
    <v t="i">2153</v>
    <v t="i">2156</v>
    <v t="i">2157</v>
    <v t="i">2158</v>
    <v t="i">2159</v>
    <v t="i">2160</v>
    <v t="i">2163</v>
    <v t="i">2164</v>
    <v t="i">2165</v>
    <v t="i">2166</v>
    <v t="i">2170</v>
    <v t="i">2171</v>
    <v t="i">2172</v>
    <v t="i">2173</v>
    <v t="i">2174</v>
    <v t="i">2177</v>
    <v t="i">2178</v>
    <v t="i">2179</v>
    <v t="i">2180</v>
    <v t="i">2181</v>
    <v t="i">2184</v>
    <v t="i">2185</v>
    <v t="i">2186</v>
    <v t="i">2187</v>
    <v t="i">2188</v>
    <v t="i">2191</v>
    <v t="i">2192</v>
    <v t="i">2193</v>
    <v t="i">2194</v>
    <v t="i">2195</v>
    <v t="i">2198</v>
    <v t="i">2199</v>
    <v t="i">2200</v>
    <v t="i">2201</v>
    <v t="i">2202</v>
    <v t="i">2205</v>
    <v t="i">2206</v>
    <v t="i">2207</v>
    <v t="i">2208</v>
    <v t="i">2209</v>
    <v t="i">2212</v>
    <v t="i">2213</v>
    <v t="i">2214</v>
    <v t="i">2215</v>
    <v t="i">2216</v>
    <v t="i">2220</v>
    <v t="i">2221</v>
    <v t="i">2222</v>
    <v t="i">2223</v>
    <v t="i">2226</v>
    <v t="i">2227</v>
    <v t="i">2228</v>
    <v t="i">2229</v>
    <v t="i">2230</v>
    <v t="i">2233</v>
    <v t="i">2234</v>
    <v t="i">2235</v>
    <v t="i">2236</v>
    <v t="i">2237</v>
    <v t="i">2240</v>
    <v t="i">2241</v>
    <v t="i">2242</v>
    <v t="i">2243</v>
    <v t="i">2247</v>
    <v t="i">2248</v>
    <v t="i">2249</v>
    <v t="i">2250</v>
    <v t="i">2251</v>
    <v t="i">2254</v>
    <v t="i">2255</v>
    <v t="i">2256</v>
    <v t="i">2257</v>
    <v t="i">2261</v>
    <v t="i">2262</v>
    <v t="i">2263</v>
    <v t="i">2264</v>
    <v t="i">2265</v>
    <v t="i">2268</v>
    <v t="i">2269</v>
    <v t="i">2270</v>
    <v t="i">2271</v>
    <v t="i">2272</v>
    <v t="i">2275</v>
    <v t="i">2276</v>
    <v t="i">2277</v>
    <v t="i">2278</v>
    <v t="i">2279</v>
    <v t="i">2282</v>
    <v t="i">2283</v>
    <v t="i">2284</v>
    <v t="i">2285</v>
    <v t="i">2286</v>
    <v t="i">2289</v>
    <v t="i">2290</v>
    <v t="i">2291</v>
    <v t="i">2292</v>
    <v t="i">2293</v>
    <v t="i">2296</v>
    <v t="i">2297</v>
    <v t="i">2298</v>
    <v t="i">2299</v>
    <v t="i">2300</v>
    <v t="i">2303</v>
    <v t="i">2304</v>
    <v t="i">2305</v>
    <v t="i">2306</v>
    <v t="i">2307</v>
    <v t="i">2310</v>
    <v t="i">2311</v>
    <v t="i">2312</v>
    <v t="i">2313</v>
    <v t="i">2314</v>
    <v t="i">2317</v>
    <v t="i">2318</v>
    <v t="i">2319</v>
    <v t="i">2320</v>
    <v t="i">2321</v>
    <v t="i">2325</v>
    <v t="i">2326</v>
    <v t="i">2327</v>
    <v t="i">2328</v>
    <v t="i">2331</v>
    <v t="i">2332</v>
    <v t="i">2333</v>
  </a>
  <a r="1" c="1606">
    <v>7.4269999999999996</v>
    <v>7.2839999999999998</v>
    <v>7.4615</v>
    <v>7.3070000000000004</v>
    <v>7.0694999999999997</v>
    <v>7.2820999999999998</v>
    <v>7.3434999999999997</v>
    <v>7.4447999999999999</v>
    <v>7.6218000000000004</v>
    <v>7.8125</v>
    <v>8.0655000000000001</v>
    <v>7.8025000000000002</v>
    <v>7.78</v>
    <v>8.0305</v>
    <v>8.4908000000000001</v>
    <v>8.7502999999999993</v>
    <v>8.8055000000000003</v>
    <v>8.9700000000000006</v>
    <v>8.7752999999999997</v>
    <v>9.0263000000000009</v>
    <v>8.7178000000000004</v>
    <v>8.5252999999999997</v>
    <v>8.4870000000000001</v>
    <v>8.8755000000000006</v>
    <v>8.8063000000000002</v>
    <v>8.8253000000000004</v>
    <v>8.7695000000000007</v>
    <v>8.7665000000000006</v>
    <v>8.92</v>
    <v>8.8049999999999997</v>
    <v>9.0459999999999994</v>
    <v>9.3667999999999996</v>
    <v>8.7963000000000005</v>
    <v>8.9324999999999992</v>
    <v>9.1738</v>
    <v>9.0685000000000002</v>
    <v>9.2360000000000007</v>
    <v>9.218</v>
    <v>9.2613000000000003</v>
    <v>9.5267999999999997</v>
    <v>9.4499999999999993</v>
    <v>9.2355</v>
    <v>9.49</v>
    <v>9.1549999999999994</v>
    <v>9.1999999999999993</v>
    <v>9.4977999999999998</v>
    <v>9.5299999999999994</v>
    <v>9.6122999999999994</v>
    <v>9.8392999999999997</v>
    <v>9.8718000000000004</v>
    <v>10.215999999999999</v>
    <v>10.509</v>
    <v>10.4793</v>
    <v>10.052300000000001</v>
    <v>10.377000000000001</v>
    <v>10.2273</v>
    <v>10.1348</v>
    <v>10.201499999999999</v>
    <v>10.5108</v>
    <v>10.3285</v>
    <v>10.438800000000001</v>
    <v>10.129799999999999</v>
    <v>10.1945</v>
    <v>10.4215</v>
    <v>10.2155</v>
    <v>10.4655</v>
    <v>10.614000000000001</v>
    <v>10.614800000000001</v>
    <v>11.010300000000001</v>
    <v>11.2278</v>
    <v>11.286799999999999</v>
    <v>11.3355</v>
    <v>11.1995</v>
    <v>11.164999999999999</v>
    <v>10.85</v>
    <v>11.440300000000001</v>
    <v>11.443</v>
    <v>11.564</v>
    <v>12.337</v>
    <v>12.2608</v>
    <v>12.138500000000001</v>
    <v>12.141</v>
    <v>12.6835</v>
    <v>12.7203</v>
    <v>12.75</v>
    <v>12.773</v>
    <v>12.628299999999999</v>
    <v>13.1478</v>
    <v>13.374499999999999</v>
    <v>13.821</v>
    <v>14.346500000000001</v>
    <v>13.015499999999999</v>
    <v>12.6225</v>
    <v>11.913</v>
    <v>12.715</v>
    <v>12.3118</v>
    <v>12.1645</v>
    <v>12.872299999999999</v>
    <v>12.991</v>
    <v>12.5145</v>
    <v>12.4635</v>
    <v>12.189299999999999</v>
    <v>12.517300000000001</v>
    <v>12.6378</v>
    <v>12.123799999999999</v>
    <v>12.348000000000001</v>
    <v>12.873799999999999</v>
    <v>13.035</v>
    <v>13.2258</v>
    <v>13.5305</v>
    <v>13.6145</v>
    <v>13.0623</v>
    <v>13.6425</v>
    <v>13.736499999999999</v>
    <v>13.964</v>
    <v>13.838800000000001</v>
    <v>13.7628</v>
    <v>14.226000000000001</v>
    <v>14.2483</v>
    <v>14.0953</v>
    <v>13.97</v>
    <v>13.811500000000001</v>
    <v>13.4978</v>
    <v>13.6455</v>
    <v>13.524800000000001</v>
    <v>13.361000000000001</v>
    <v>13.590299999999999</v>
    <v>13.141299999999999</v>
    <v>13.396800000000001</v>
    <v>12.627000000000001</v>
    <v>13.023999999999999</v>
    <v>12.534000000000001</v>
    <v>12.5808</v>
    <v>13.019500000000001</v>
    <v>13.7943</v>
    <v>14.16</v>
    <v>14.561999999999999</v>
    <v>13.630800000000001</v>
    <v>12.77</v>
    <v>13.417999999999999</v>
    <v>13.456799999999999</v>
    <v>13.297000000000001</v>
    <v>13.5153</v>
    <v>13.4223</v>
    <v>13.428800000000001</v>
    <v>13.440300000000001</v>
    <v>13.0878</v>
    <v>13.14</v>
    <v>12.957700000000001</v>
    <v>13.2348</v>
    <v>13.2613</v>
    <v>13.4015</v>
    <v>13.39</v>
    <v>13.544499999999999</v>
    <v>13.396000000000001</v>
    <v>13.558299999999999</v>
    <v>13.6068</v>
    <v>13.35</v>
    <v>12.9308</v>
    <v>12.972300000000001</v>
    <v>13.013299999999999</v>
    <v>13.3088</v>
    <v>13.3605</v>
    <v>13.2425</v>
    <v>13.3413</v>
    <v>13.272</v>
    <v>13.3323</v>
    <v>13.2783</v>
    <v>13.0093</v>
    <v>12.9938</v>
    <v>12.9</v>
    <v>12.943300000000001</v>
    <v>13.145799999999999</v>
    <v>13.055</v>
    <v>13.1135</v>
    <v>13.4048</v>
    <v>12.6145</v>
    <v>13.343999999999999</v>
    <v>13.2768</v>
    <v>13.621499999999999</v>
    <v>13.4848</v>
    <v>13.5318</v>
    <v>13.2003</v>
    <v>12.859500000000001</v>
    <v>13.0253</v>
    <v>13.3658</v>
    <v>13.8675</v>
    <v>13.7125</v>
    <v>13.6533</v>
    <v>13.4353</v>
    <v>12.9178</v>
    <v>13.051</v>
    <v>12.989800000000001</v>
    <v>13.237</v>
    <v>13.556800000000001</v>
    <v>13.5305</v>
    <v>13.664300000000001</v>
    <v>13.590999999999999</v>
    <v>14.438800000000001</v>
    <v>14.263299999999999</v>
    <v>14.7643</v>
    <v>15.2508</v>
    <v>14.9613</v>
    <v>15.330299999999999</v>
    <v>14.906000000000001</v>
    <v>14.829000000000001</v>
    <v>14.926500000000001</v>
    <v>14.3558</v>
    <v>14.141999999999999</v>
    <v>14.499000000000001</v>
    <v>13.307499999999999</v>
    <v>13.714499999999999</v>
    <v>13.841799999999999</v>
    <v>13.4063</v>
    <v>12.8048</v>
    <v>12.3703</v>
    <v>12.461499999999999</v>
    <v>11.593299999999999</v>
    <v>12.520300000000001</v>
    <v>12.468299999999999</v>
    <v>12.993499999999999</v>
    <v>12.856</v>
    <v>13.1913</v>
    <v>13.2913</v>
    <v>13.3413</v>
    <v>12.7225</v>
    <v>12.845800000000001</v>
    <v>13.186299999999999</v>
    <v>13.0708</v>
    <v>12.643000000000001</v>
    <v>12.535299999999999</v>
    <v>12.8393</v>
    <v>12.9483</v>
    <v>12.8718</v>
    <v>13.3483</v>
    <v>13.8118</v>
    <v>13.987500000000001</v>
    <v>13.861499999999999</v>
    <v>14.1435</v>
    <v>14.317</v>
    <v>14.4</v>
    <v>15.209</v>
    <v>15.679500000000001</v>
    <v>15.276999999999999</v>
    <v>16.1373</v>
    <v>15.9125</v>
    <v>15.361800000000001</v>
    <v>15.1713</v>
    <v>15.3605</v>
    <v>14.850300000000001</v>
    <v>15.2653</v>
    <v>15.478</v>
    <v>15.3818</v>
    <v>15.2768</v>
    <v>15.3248</v>
    <v>15.009499999999999</v>
    <v>14.8368</v>
    <v>14.3513</v>
    <v>14.458500000000001</v>
    <v>14.523</v>
    <v>14.8123</v>
    <v>14.2658</v>
    <v>14.3063</v>
    <v>13.7585</v>
    <v>13.6653</v>
    <v>14.243</v>
    <v>14.1655</v>
    <v>14.0158</v>
    <v>14.065799999999999</v>
    <v>14.612500000000001</v>
    <v>14.9918</v>
    <v>15.612</v>
    <v>15.6478</v>
    <v>15.7</v>
    <v>15.488</v>
    <v>16.244499999999999</v>
    <v>16.264500000000002</v>
    <v>16.778300000000002</v>
    <v>16.969799999999999</v>
    <v>17.578299999999999</v>
    <v>17.619</v>
    <v>17.457000000000001</v>
    <v>17.3583</v>
    <v>17.425000000000001</v>
    <v>17.825299999999999</v>
    <v>18.018799999999999</v>
    <v>17.788499999999999</v>
    <v>17.810300000000002</v>
    <v>18.657299999999999</v>
    <v>18.6387</v>
    <v>18.427299999999999</v>
    <v>18.886800000000001</v>
    <v>19.057300000000001</v>
    <v>19.205500000000001</v>
    <v>19.030999999999999</v>
    <v>19.984999999999999</v>
    <v>20.026800000000001</v>
    <v>20.002500000000001</v>
    <v>20.212</v>
    <v>20.486999999999998</v>
    <v>20.698499999999999</v>
    <v>20.3718</v>
    <v>19.902799999999999</v>
    <v>20.0503</v>
    <v>20.512499999999999</v>
    <v>20.25</v>
    <v>19.8415</v>
    <v>18.9663</v>
    <v>18.161000000000001</v>
    <v>18.779800000000002</v>
    <v>18.611999999999998</v>
    <v>19.41</v>
    <v>19.594000000000001</v>
    <v>19.558</v>
    <v>19.294</v>
    <v>19.207999999999998</v>
    <v>19.503</v>
    <v>19.661999999999999</v>
    <v>19.498999999999999</v>
    <v>19.75</v>
    <v>19.815000000000001</v>
    <v>20.274000000000001</v>
    <v>20.637</v>
    <v>20.366</v>
    <v>20.295000000000002</v>
    <v>19.936</v>
    <v>19.699000000000002</v>
    <v>19.905000000000001</v>
    <v>20.187999999999999</v>
    <v>19.95</v>
    <v>19.457999999999998</v>
    <v>19.04</v>
    <v>19.797999999999998</v>
    <v>20.815999999999999</v>
    <v>21.957999999999998</v>
    <v>21.792999999999999</v>
    <v>22.213000000000001</v>
    <v>22.068000000000001</v>
    <v>22.635999999999999</v>
    <v>22.687999999999999</v>
    <v>22.385000000000002</v>
    <v>22.440999999999999</v>
    <v>22.396000000000001</v>
    <v>22.843</v>
    <v>22.661999999999999</v>
    <v>22.338999999999999</v>
    <v>22.177</v>
    <v>22.478000000000002</v>
    <v>22.152000000000001</v>
    <v>22.242000000000001</v>
    <v>22.341000000000001</v>
    <v>22.242000000000001</v>
    <v>21.9</v>
    <v>21.113</v>
    <v>21.245999999999999</v>
    <v>21.940999999999999</v>
    <v>22.481999999999999</v>
    <v>22.081</v>
    <v>21.66</v>
    <v>20.699000000000002</v>
    <v>20.516999999999999</v>
    <v>20.716000000000001</v>
    <v>20.742000000000001</v>
    <v>19.731999999999999</v>
    <v>20.451000000000001</v>
    <v>20.7</v>
    <v>21.074999999999999</v>
    <v>20.831</v>
    <v>20.695</v>
    <v>20.670999999999999</v>
    <v>20.939</v>
    <v>21.745999999999999</v>
    <v>21.861999999999998</v>
    <v>22.222000000000001</v>
    <v>22.29</v>
    <v>22.103000000000002</v>
    <v>22.692</v>
    <v>22.725999999999999</v>
    <v>23.166</v>
    <v>24.716999999999999</v>
    <v>24.451000000000001</v>
    <v>24.940999999999999</v>
    <v>25.567</v>
    <v>25.827000000000002</v>
    <v>26.401</v>
    <v>26.597999999999999</v>
    <v>29.800999999999998</v>
    <v>29.751999999999999</v>
    <v>30.803999999999998</v>
    <v>30.657</v>
    <v>29.459</v>
    <v>30.39</v>
    <v>30.39</v>
    <v>30.024999999999999</v>
    <v>30.202999999999999</v>
    <v>29.260999999999999</v>
    <v>31.675000000000001</v>
    <v>32.984999999999999</v>
    <v>31.956</v>
    <v>31.745999999999999</v>
    <v>32.673999999999999</v>
    <v>31.503</v>
    <v>33.375999999999998</v>
    <v>32.676000000000002</v>
    <v>31.434999999999999</v>
    <v>32.125999999999998</v>
    <v>30.693000000000001</v>
    <v>30.036999999999999</v>
    <v>32.427</v>
    <v>31.826000000000001</v>
    <v>30.49</v>
    <v>30.198</v>
    <v>28.161000000000001</v>
    <v>28.337</v>
    <v>30.459</v>
    <v>28.387</v>
    <v>27.800999999999998</v>
    <v>27.719000000000001</v>
    <v>29.074999999999999</v>
    <v>29.4</v>
    <v>29.64</v>
    <v>30.945</v>
    <v>30.321999999999999</v>
    <v>30.001000000000001</v>
    <v>29.585999999999999</v>
    <v>29.411000000000001</v>
    <v>30.120999999999999</v>
    <v>29.29</v>
    <v>27.603999999999999</v>
    <v>28.178000000000001</v>
    <v>27.247</v>
    <v>27.4</v>
    <v>27.817</v>
    <v>27.998999999999999</v>
    <v>26.574999999999999</v>
    <v>26.942</v>
    <v>25.902999999999999</v>
    <v>25.067</v>
    <v>24.15</v>
    <v>23.373999999999999</v>
    <v>23.372</v>
    <v>22.324000000000002</v>
    <v>22.771999999999998</v>
    <v>21.943999999999999</v>
    <v>22.84</v>
    <v>24.486000000000001</v>
    <v>24.638000000000002</v>
    <v>25.242000000000001</v>
    <v>23.948</v>
    <v>24.318999999999999</v>
    <v>24.728000000000002</v>
    <v>25.108000000000001</v>
    <v>26.704999999999998</v>
    <v>25.824000000000002</v>
    <v>23.949000000000002</v>
    <v>24.266999999999999</v>
    <v>26.495000000000001</v>
    <v>26.510999999999999</v>
    <v>24.507000000000001</v>
    <v>23.641999999999999</v>
    <v>23.39</v>
    <v>22.387</v>
    <v>23.748000000000001</v>
    <v>24.157</v>
    <v>24.385000000000002</v>
    <v>23.477</v>
    <v>24.22</v>
    <v>23.713999999999999</v>
    <v>22.936</v>
    <v>21.352</v>
    <v>21.513999999999999</v>
    <v>23.013999999999999</v>
    <v>22.658000000000001</v>
    <v>22.1</v>
    <v>21.33</v>
    <v>22.972999999999999</v>
    <v>24.495999999999999</v>
    <v>24.765999999999998</v>
    <v>26.452999999999999</v>
    <v>26.734000000000002</v>
    <v>26.524000000000001</v>
    <v>25.634</v>
    <v>28.15</v>
    <v>27.692</v>
    <v>28.219000000000001</v>
    <v>28.655999999999999</v>
    <v>27.69</v>
    <v>27.286000000000001</v>
    <v>26.712</v>
    <v>27.36</v>
    <v>25.931000000000001</v>
    <v>24.407</v>
    <v>24.207999999999998</v>
    <v>23.119</v>
    <v>21.917000000000002</v>
    <v>21.504000000000001</v>
    <v>22.202999999999999</v>
    <v>21.257999999999999</v>
    <v>21.783000000000001</v>
    <v>22.198</v>
    <v>21.481999999999999</v>
    <v>20.183</v>
    <v>19.515000000000001</v>
    <v>19.902000000000001</v>
    <v>18.788</v>
    <v>18.414999999999999</v>
    <v>19.782</v>
    <v>18.547000000000001</v>
    <v>19.533000000000001</v>
    <v>19.602</v>
    <v>20.334</v>
    <v>18.844000000000001</v>
    <v>18.675000000000001</v>
    <v>16.95</v>
    <v>17.594999999999999</v>
    <v>16.63</v>
    <v>16.175000000000001</v>
    <v>17.706</v>
    <v>17.263999999999999</v>
    <v>18.177</v>
    <v>16.937999999999999</v>
    <v>17.123999999999999</v>
    <v>16.693999999999999</v>
    <v>16.898</v>
    <v>16.154</v>
    <v>16.975000000000001</v>
    <v>17.850999999999999</v>
    <v>18.811</v>
    <v>18.672000000000001</v>
    <v>18.32</v>
    <v>19.591999999999999</v>
    <v>18.72</v>
    <v>18.786000000000001</v>
    <v>18.925999999999998</v>
    <v>18.648</v>
    <v>18.047999999999998</v>
    <v>16.974</v>
    <v>15.647</v>
    <v>15.836</v>
    <v>16.527000000000001</v>
    <v>15.601000000000001</v>
    <v>15.88</v>
    <v>16.565999999999999</v>
    <v>16.36</v>
    <v>16.225000000000001</v>
    <v>17.126000000000001</v>
    <v>16.869</v>
    <v>15.981999999999999</v>
    <v>15.542</v>
    <v>15.159000000000001</v>
    <v>14.523</v>
    <v>14.964</v>
    <v>15.13</v>
    <v>15.858000000000001</v>
    <v>15.837999999999999</v>
    <v>15.151999999999999</v>
    <v>15.082000000000001</v>
    <v>15.164</v>
    <v>15.372</v>
    <v>15.762</v>
    <v>16.100999999999999</v>
    <v>16.992000000000001</v>
    <v>17.806999999999999</v>
    <v>18.05</v>
    <v>17.318999999999999</v>
    <v>17.024000000000001</v>
    <v>16.533000000000001</v>
    <v>17.79</v>
    <v>17.984000000000002</v>
    <v>18.163</v>
    <v>18.440999999999999</v>
    <v>18.526</v>
    <v>18.893000000000001</v>
    <v>19.215</v>
    <v>18.989000000000001</v>
    <v>17.792999999999999</v>
    <v>17.085999999999999</v>
    <v>18.097000000000001</v>
    <v>17.942</v>
    <v>18.709</v>
    <v>19.032</v>
    <v>18.879000000000001</v>
    <v>18.335000000000001</v>
    <v>18.773</v>
    <v>17.849</v>
    <v>17.033999999999999</v>
    <v>17.181000000000001</v>
    <v>17.222000000000001</v>
    <v>17.913</v>
    <v>16.260000000000002</v>
    <v>15.801</v>
    <v>15.468</v>
    <v>15.093999999999999</v>
    <v>13.936999999999999</v>
    <v>13.647</v>
    <v>13.465</v>
    <v>13.714</v>
    <v>13.99</v>
    <v>14.387</v>
    <v>14.505000000000001</v>
    <v>13.131</v>
    <v>13.128</v>
    <v>12.929</v>
    <v>13.198</v>
    <v>13.382</v>
    <v>13.176</v>
    <v>13.260999999999999</v>
    <v>12.561</v>
    <v>12.516</v>
    <v>12.228</v>
    <v>12.413</v>
    <v>12.736000000000001</v>
    <v>12.22</v>
    <v>12.138999999999999</v>
    <v>12.512</v>
    <v>13.167</v>
    <v>13.209</v>
    <v>13.13</v>
    <v>12.076000000000001</v>
    <v>11.67</v>
    <v>11.586</v>
    <v>11.5</v>
    <v>11.96</v>
    <v>11.227</v>
    <v>11.888</v>
    <v>11.967000000000001</v>
    <v>12.051</v>
    <v>12.194000000000001</v>
    <v>12.465999999999999</v>
    <v>12.599</v>
    <v>13.260999999999999</v>
    <v>12.896000000000001</v>
    <v>13.176</v>
    <v>13.834</v>
    <v>13.497</v>
    <v>13.542999999999999</v>
    <v>13.218999999999999</v>
    <v>13.420999999999999</v>
    <v>14.156000000000001</v>
    <v>14.301</v>
    <v>14.602</v>
    <v>13.776</v>
    <v>15.75</v>
    <v>16.327000000000002</v>
    <v>16.295000000000002</v>
    <v>16.666</v>
    <v>15.91</v>
    <v>15.677</v>
    <v>15.409000000000001</v>
    <v>15.317</v>
    <v>16.038</v>
    <v>16.518999999999998</v>
    <v>16.27</v>
    <v>15.827</v>
    <v>15.638999999999999</v>
    <v>16.922999999999998</v>
    <v>17.135000000000002</v>
    <v>16.876000000000001</v>
    <v>16.61</v>
    <v>15.987</v>
    <v>16.12</v>
    <v>17.169</v>
    <v>17.001000000000001</v>
    <v>17.535</v>
    <v>18.071999999999999</v>
    <v>17.673999999999999</v>
    <v>16.952000000000002</v>
    <v>16.571000000000002</v>
    <v>16.254000000000001</v>
    <v>16.085000000000001</v>
    <v>16.501000000000001</v>
    <v>15.339</v>
    <v>15.206</v>
    <v>14.121</v>
    <v>14.036</v>
    <v>14.603</v>
    <v>14.614000000000001</v>
    <v>14.315</v>
    <v>14.749000000000001</v>
    <v>14.265000000000001</v>
    <v>14.859</v>
    <v>15.628</v>
    <v>15.909000000000001</v>
    <v>16.001000000000001</v>
    <v>16.510999999999999</v>
    <v>16.899000000000001</v>
    <v>17.702000000000002</v>
    <v>17.376999999999999</v>
    <v>16.765000000000001</v>
    <v>17.838999999999999</v>
    <v>19.193000000000001</v>
    <v>19.265000000000001</v>
    <v>19.323</v>
    <v>19.802</v>
    <v>20.364999999999998</v>
    <v>19.161999999999999</v>
    <v>19.536999999999999</v>
    <v>20.943000000000001</v>
    <v>21.709</v>
    <v>21.1</v>
    <v>21.088999999999999</v>
    <v>22.172999999999998</v>
    <v>22.204999999999998</v>
    <v>22.337</v>
    <v>21.265000000000001</v>
    <v>21.788</v>
    <v>22.971</v>
    <v>22.763999999999999</v>
    <v>22.001999999999999</v>
    <v>21.388000000000002</v>
    <v>20.655000000000001</v>
    <v>20.754000000000001</v>
    <v>23.664000000000001</v>
    <v>23.286000000000001</v>
    <v>23.501000000000001</v>
    <v>23.216000000000001</v>
    <v>22.698</v>
    <v>23.314</v>
    <v>23.89</v>
    <v>23.553999999999998</v>
    <v>23.288</v>
    <v>24.181000000000001</v>
    <v>23.436</v>
    <v>22.965</v>
    <v>22.966000000000001</v>
    <v>24.062999999999999</v>
    <v>24.228000000000002</v>
    <v>25.541</v>
    <v>25.725000000000001</v>
    <v>25.9</v>
    <v>26.199000000000002</v>
    <v>26.468</v>
    <v>27.190999999999999</v>
    <v>26.779</v>
    <v>26.530999999999999</v>
    <v>26.41</v>
    <v>26.984000000000002</v>
    <v>27.382999999999999</v>
    <v>27.777000000000001</v>
    <v>27.965</v>
    <v>27.452999999999999</v>
    <v>26.881</v>
    <v>27.036999999999999</v>
    <v>27.579000000000001</v>
    <v>27.169</v>
    <v>26.495000000000001</v>
    <v>26.463000000000001</v>
    <v>26.757999999999999</v>
    <v>27.001999999999999</v>
    <v>27.667000000000002</v>
    <v>27.931000000000001</v>
    <v>27.103999999999999</v>
    <v>27.119</v>
    <v>27.042000000000002</v>
    <v>26.241</v>
    <v>26.956</v>
    <v>27.225999999999999</v>
    <v>27.748999999999999</v>
    <v>28.91</v>
    <v>28.21</v>
    <v>27.802</v>
    <v>27.562000000000001</v>
    <v>28.68</v>
    <v>29.151</v>
    <v>28.571000000000002</v>
    <v>28.885000000000002</v>
    <v>28.577999999999999</v>
    <v>28.34</v>
    <v>28.952999999999999</v>
    <v>29.213000000000001</v>
    <v>30.178000000000001</v>
    <v>31.678000000000001</v>
    <v>31.263999999999999</v>
    <v>31.175999999999998</v>
    <v>30.687999999999999</v>
    <v>30.538</v>
    <v>37.979999999999997</v>
    <v>38.945999999999998</v>
    <v>40.110999999999997</v>
    <v>37.834000000000003</v>
    <v>39.770000000000003</v>
    <v>39.326999999999998</v>
    <v>39.170999999999999</v>
    <v>38.654000000000003</v>
    <v>37.475000000000001</v>
    <v>38.51</v>
    <v>38.770000000000003</v>
    <v>39.481999999999999</v>
    <v>41.021999999999998</v>
    <v>42.997</v>
    <v>42.652999999999999</v>
    <v>42.692</v>
    <v>43.808</v>
    <v>43.045000000000002</v>
    <v>43.024999999999999</v>
    <v>42.209000000000003</v>
    <v>40.631999999999998</v>
    <v>41.875999999999998</v>
    <v>41.116999999999997</v>
    <v>40.822000000000003</v>
    <v>42.302</v>
    <v>42.412999999999997</v>
    <v>42.317</v>
    <v>42.103000000000002</v>
    <v>42.503</v>
    <v>42.18</v>
    <v>42.405000000000001</v>
    <v>43.902000000000001</v>
    <v>45.976999999999997</v>
    <v>45.469000000000001</v>
    <v>46.460999999999999</v>
    <v>47.494</v>
    <v>47.076999999999998</v>
    <v>45.52</v>
    <v>44.308999999999997</v>
    <v>44.612000000000002</v>
    <v>45.679000000000002</v>
    <v>45.451999999999998</v>
    <v>45.9</v>
    <v>46.75</v>
    <v>46.728999999999999</v>
    <v>46.506999999999998</v>
    <v>44.268999999999998</v>
    <v>44.515000000000001</v>
    <v>44.68</v>
    <v>45.416499999999999</v>
    <v>44.664000000000001</v>
    <v>42.554000000000002</v>
    <v>42.387999999999998</v>
    <v>40.854999999999997</v>
    <v>43.753</v>
    <v>43.94</v>
    <v>43.485999999999997</v>
    <v>43.343499999999999</v>
    <v>43.298999999999999</v>
    <v>46.966999999999999</v>
    <v>45.667999999999999</v>
    <v>47.116</v>
    <v>47.162999999999997</v>
    <v>46.018000000000001</v>
    <v>46.835000000000001</v>
    <v>48.783999999999999</v>
    <v>49.264000000000003</v>
    <v>49.354999999999997</v>
    <v>48.509</v>
    <v>48.548000000000002</v>
    <v>47.061</v>
    <v>46.241</v>
    <v>45.572000000000003</v>
    <v>45.177999999999997</v>
    <v>44.87</v>
    <v>45.484999999999999</v>
    <v>45.581000000000003</v>
    <v>43.9</v>
    <v>43.966000000000001</v>
    <v>43.52</v>
    <v>42.238999999999997</v>
    <v>41.017000000000003</v>
    <v>41.61</v>
    <v>42.222000000000001</v>
    <v>41.911000000000001</v>
    <v>42.468000000000004</v>
    <v>43.088999999999999</v>
    <v>43.499000000000002</v>
    <v>44.781999999999996</v>
    <v>43.517000000000003</v>
    <v>44.040999999999997</v>
    <v>44.688000000000002</v>
    <v>45.762</v>
    <v>45.273000000000003</v>
    <v>45.798000000000002</v>
    <v>46.805999999999997</v>
    <v>46.945</v>
    <v>45.460999999999999</v>
    <v>46.094999999999999</v>
    <v>43.938000000000002</v>
    <v>42.195999999999998</v>
    <v>42.100999999999999</v>
    <v>41.387</v>
    <v>42.975000000000001</v>
    <v>43.662999999999997</v>
    <v>41.779000000000003</v>
    <v>40.326000000000001</v>
    <v>40.5</v>
    <v>41.161000000000001</v>
    <v>40.78</v>
    <v>42.325000000000003</v>
    <v>43.506</v>
    <v>45.005000000000003</v>
    <v>45.750999999999998</v>
    <v>45.954999999999998</v>
    <v>46.573999999999998</v>
    <v>46.95</v>
    <v>48.335000000000001</v>
    <v>48.62</v>
    <v>49.655999999999999</v>
    <v>48.887999999999998</v>
    <v>49.48</v>
    <v>49.298000000000002</v>
    <v>50.408999999999999</v>
    <v>49.944000000000003</v>
    <v>48.716000000000001</v>
    <v>47.776000000000003</v>
    <v>48.241999999999997</v>
    <v>47.820999999999998</v>
    <v>48.14</v>
    <v>46.77</v>
    <v>46.765000000000001</v>
    <v>45.51</v>
    <v>46.566000000000003</v>
    <v>45.503</v>
    <v>46.595999999999997</v>
    <v>47.506</v>
    <v>46.627000000000002</v>
    <v>47.656999999999996</v>
    <v>48.088000000000001</v>
    <v>48.35</v>
    <v>48.89</v>
    <v>50.076999999999998</v>
    <v>49.603999999999999</v>
    <v>48.110999999999997</v>
    <v>48.99</v>
    <v>48.83</v>
    <v>49.279000000000003</v>
    <v>49.417000000000002</v>
    <v>49.521999999999998</v>
    <v>49.521999999999998</v>
    <v>48.167999999999999</v>
    <v>47.569000000000003</v>
    <v>47.997999999999998</v>
    <v>49.097000000000001</v>
    <v>52.253</v>
    <v>53.14</v>
    <v>54.35</v>
    <v>54.822000000000003</v>
    <v>54.71</v>
    <v>56.381999999999998</v>
    <v>56.052999999999997</v>
    <v>57.106999999999999</v>
    <v>59.491</v>
    <v>59.654000000000003</v>
    <v>59.872999999999998</v>
    <v>61.362000000000002</v>
    <v>61.616999999999997</v>
    <v>61.030999999999999</v>
    <v>62.465000000000003</v>
    <v>62.774000000000001</v>
    <v>61.527000000000001</v>
    <v>63.027000000000001</v>
    <v>66.16</v>
    <v>69.331999999999994</v>
    <v>68.222999999999999</v>
    <v>70.099000000000004</v>
    <v>69.641000000000005</v>
    <v>72.132999999999996</v>
    <v>72.248000000000005</v>
    <v>72.128</v>
    <v>73.900000000000006</v>
    <v>72.658000000000001</v>
    <v>72.613</v>
    <v>69.451999999999998</v>
    <v>67.471999999999994</v>
    <v>78.537999999999997</v>
    <v>78.816999999999993</v>
    <v>79.091999999999999</v>
    <v>78.700999999999993</v>
    <v>77.662999999999997</v>
    <v>79.111999999999995</v>
    <v>82.278999999999996</v>
    <v>85.236999999999995</v>
    <v>85.963999999999999</v>
    <v>88.7</v>
    <v>92.668999999999997</v>
    <v>87.528000000000006</v>
    <v>85.774000000000001</v>
    <v>91.912999999999997</v>
    <v>90.888000000000005</v>
    <v>87.944000000000003</v>
    <v>87.836500000000001</v>
    <v>88.454999999999998</v>
    <v>89.397999999999996</v>
    <v>90.372</v>
    <v>91.435000000000002</v>
    <v>94.289000000000001</v>
    <v>95.001999999999995</v>
    <v>92.561000000000007</v>
    <v>90.25</v>
    <v>90.355999999999995</v>
    <v>90.363</v>
    <v>89.451999999999998</v>
    <v>88.963999999999999</v>
    <v>85.905000000000001</v>
    <v>88.007999999999996</v>
    <v>87.132999999999996</v>
    <v>85.353999999999999</v>
    <v>87.039000000000001</v>
    <v>90.616</v>
    <v>88.186000000000007</v>
    <v>86.001000000000005</v>
    <v>87.415000000000006</v>
    <v>84.034999999999997</v>
    <v>84.671000000000006</v>
    <v>76.2</v>
    <v>79.518000000000001</v>
    <v>82.423000000000002</v>
    <v>79.677000000000007</v>
    <v>82.632000000000005</v>
    <v>87.734999999999999</v>
    <v>87.757000000000005</v>
    <v>86.402000000000001</v>
    <v>83.040999999999997</v>
    <v>85.816999999999993</v>
    <v>88.789000000000001</v>
    <v>92.14</v>
    <v>90.554000000000002</v>
    <v>90.412000000000006</v>
    <v>88.747</v>
    <v>89.878</v>
    <v>90.399000000000001</v>
    <v>91.355999999999995</v>
    <v>94.63</v>
    <v>94.358999999999995</v>
    <v>92.478999999999999</v>
    <v>94.78</v>
    <v>95.385999999999996</v>
    <v>94.95</v>
    <v>103.79900000000001</v>
    <v>106.46899999999999</v>
    <v>113.901</v>
    <v>114.825</v>
    <v>110.5</v>
    <v>109.633</v>
    <v>115</v>
    <v>116.437</v>
    <v>122.44</v>
    <v>120.998</v>
    <v>120.88800000000001</v>
    <v>121.79</v>
    <v>120.91</v>
    <v>125.2</v>
    <v>129.61000000000001</v>
    <v>131.88</v>
    <v>130.97999999999999</v>
    <v>135.58000000000001</v>
    <v>130.78</v>
    <v>126.57</v>
    <v>118.11</v>
    <v>126.09</v>
    <v>126.4</v>
    <v>123.99</v>
    <v>123.54</v>
    <v>124.3</v>
    <v>122.67</v>
    <v>128.28</v>
    <v>125.83</v>
    <v>128.19999999999999</v>
    <v>131.38</v>
    <v>134.91</v>
    <v>127.4</v>
    <v>129.24</v>
    <v>128.44</v>
    <v>126.36</v>
    <v>117.99</v>
    <v>121.09</v>
    <v>117.93</v>
    <v>123.54</v>
    <v>122.59</v>
    <v>114.25</v>
    <v>112.28</v>
    <v>113.06</v>
    <v>111.59</v>
    <v>103.73</v>
    <v>117.02</v>
    <v>109.21</v>
    <v>107.27</v>
    <v>100.45</v>
    <v>104.25</v>
    <v>98.91</v>
    <v>104.97</v>
    <v>104.75</v>
    <v>109.02</v>
    <v>116.14</v>
    <v>118.08</v>
    <v>122.86</v>
    <v>124.58</v>
    <v>130</v>
    <v>127.25</v>
    <v>128.5</v>
    <v>123.74</v>
    <v>129.37</v>
    <v>126.46</v>
    <v>128.30000000000001</v>
    <v>125.61</v>
    <v>117.59</v>
    <v>119.37</v>
    <v>108</v>
    <v>106.21</v>
    <v>107.21</v>
    <v>102.83</v>
    <v>106.47</v>
    <v>108.1</v>
    <v>116.91</v>
    <v>119.14</v>
    <v>119.1</v>
    <v>116.78</v>
    <v>115.59</v>
    <v>113.37</v>
    <v>117.87</v>
    <v>116</v>
    <v>116.26</v>
    <v>120.87</v>
    <v>123.51</v>
    <v>124.04</v>
    <v>121.4</v>
    <v>121.44</v>
    <v>117</v>
    <v>118.85</v>
    <v>122.85</v>
    <v>124.92</v>
    <v>127.72</v>
    <v>132.88999999999999</v>
    <v>132.65</v>
    <v>134.81</v>
    <v>134.80000000000001</v>
    <v>138.07</v>
    <v>131.6</v>
    <v>135.72</v>
    <v>136.93</v>
    <v>138</v>
    <v>143.71</v>
    <v>143.59</v>
    <v>139.56</v>
    <v>140.41</v>
    <v>141.54</v>
    <v>140.52000000000001</v>
    <v>141.25</v>
    <v>139.33500000000001</v>
    <v>132.76</v>
    <v>135.4</v>
    <v>136.05000000000001</v>
    <v>139.91</v>
    <v>145.61000000000001</v>
    <v>148.88</v>
    <v>147.63</v>
    <v>145.26</v>
    <v>148.29</v>
    <v>146.27000000000001</v>
    <v>146.76</v>
    <v>141.97999999999999</v>
    <v>140.15</v>
    <v>147.01</v>
    <v>145.88999999999999</v>
    <v>146.66999999999999</v>
    <v>141.94999999999999</v>
    <v>136.02000000000001</v>
    <v>136.91999999999999</v>
    <v>135.34</v>
    <v>138.25</v>
    <v>138.63</v>
    <v>140.26</v>
    <v>145.13999999999999</v>
    <v>145.06</v>
    <v>142.44</v>
    <v>138.81</v>
    <v>135.07</v>
    <v>139.31</v>
    <v>137.34</v>
    <v>134.25</v>
    <v>132</v>
    <v>130.38999999999999</v>
    <v>128.91</v>
    <v>130.68</v>
    <v>134.69999999999999</v>
    <v>139.66999999999999</v>
    <v>140.22</v>
    <v>139.93</v>
    <v>137.01</v>
    <v>137.49</v>
    <v>134.29</v>
    <v>138.31</v>
    <v>144.47</v>
    <v>149.43</v>
    <v>140.13999999999999</v>
    <v>140.11000000000001</v>
    <v>135.91</v>
    <v>133.22999999999999</v>
    <v>131.76</v>
    <v>136.24</v>
    <v>133.57</v>
    <v>137.71</v>
    <v>140.83000000000001</v>
    <v>147.07</v>
    <v>147.22</v>
    <v>142.62</v>
    <v>118.42</v>
    <v>128.99</v>
    <v>123.7</v>
    <v>124.65</v>
    <v>120.07</v>
    <v>116.66</v>
    <v>118.65</v>
    <v>124.83</v>
    <v>128.68</v>
    <v>129.84</v>
    <v>133.57</v>
    <v>132.80000000000001</v>
    <v>131.13999999999999</v>
    <v>135.29</v>
    <v>138.85</v>
    <v>139.4</v>
    <v>139.22999999999999</v>
    <v>140.11000000000001</v>
    <v>134.43</v>
    <v>130.28</v>
    <v>126.63</v>
    <v>131.28</v>
    <v>120.15</v>
    <v>124.92</v>
    <v>114.06</v>
    <v>115.99</v>
    <v>117.3</v>
    <v>110.57</v>
    <v>112.69</v>
    <v>106.98</v>
    <v>108.76</v>
    <v>115.74</v>
    <v>115.58</v>
    <v>121.67</v>
    <v>119.53</v>
    <v>115.43</v>
    <v>117.52</v>
    <v>118.53</v>
    <v>117.7</v>
    <v>121.41</v>
    <v>120.69</v>
    <v>113.76</v>
    <v>111.43</v>
    <v>109.67</v>
    <v>108.38</v>
    <v>110.15</v>
    <v>110.42</v>
    <v>101.8</v>
    <v>94.31</v>
    <v>97.64</v>
    <v>96.3</v>
    <v>114.33</v>
    <v>107.57</v>
    <v>110.93</v>
    <v>110.71</v>
    <v>112.2</v>
    <v>104.49</v>
    <v>101.49</v>
    <v>96.91</v>
    <v>98.89</v>
    <v>102.71</v>
    <v>106.43</v>
    <v>111.01</v>
    <v>108.73</v>
    <v>109.02</v>
    <v>108.92</v>
    <v>111.61</v>
    <v>114.5</v>
    <v>113.82</v>
    <v>113.54</v>
    <v>117.06</v>
    <v>117.37</v>
    <v>116.65</v>
    <v>123</v>
    <v>129.93</v>
    <v>135.34</v>
    <v>134.83000000000001</v>
    <v>135.4</v>
    <v>135.57</v>
    <v>134.38</v>
    <v>131.80000000000001</v>
    <v>132.83000000000001</v>
    <v>131.29</v>
    <v>135.5</v>
    <v>134.81</v>
    <v>139.19</v>
    <v>135.13</v>
    <v>137.38</v>
    <v>141.22</v>
    <v>141.91999999999999</v>
    <v>139.99</v>
    <v>141.72</v>
    <v>142.63</v>
    <v>143.96</v>
    <v>142.83000000000001</v>
    <v>145</v>
    <v>141.97</v>
    <v>144.69</v>
    <v>144.12</v>
    <v>145.47999999999999</v>
    <v>143.85</v>
    <v>144.16999999999999</v>
    <v>147.9</v>
    <v>154.31</v>
    <v>155.02000000000001</v>
    <v>157.75</v>
    <v>157.99</v>
    <v>153.30000000000001</v>
    <v>157.25</v>
    <v>159.34</v>
    <v>158.24</v>
    <v>160</v>
    <v>162.88</v>
    <v>164.1</v>
    <v>164.92</v>
    <v>164.07</v>
    <v>170.7</v>
    <v>171.37</v>
    <v>173</v>
    <v>172.41</v>
    <v>171.38</v>
    <v>167.03</v>
    <v>170.78</v>
    <v>173.74</v>
    <v>173.5</v>
    <v>176.75</v>
    <v>175.51</v>
    <v>179.27</v>
    <v>177.87</v>
    <v>173.72</v>
    <v>180</v>
    <v>178.26</v>
    <v>179.42</v>
    <v>180.77</v>
    <v>182.7</v>
    <v>182.06</v>
    <v>183.16</v>
    <v>181.59</v>
    <v>182.02</v>
    <v>180.45</v>
    <v>182.01</v>
    <v>175.64</v>
    <v>175.4</v>
    <v>174.98</v>
    <v>177.99</v>
    <v>179.81</v>
    <v>181.77</v>
    <v>181.6</v>
    <v>180.17</v>
    <v>174.18</v>
    <v>170.78</v>
    <v>170.62</v>
    <v>171.66</v>
    <v>167.02</v>
    <v>168.31</v>
    <v>170.76</v>
    <v>177.33</v>
    <v>177.17</v>
    <v>177.82</v>
    <v>177.75</v>
    <v>174.88</v>
    <v>170.29</v>
    <v>176.24</v>
    <v>176.67</v>
    <v>183.61</v>
    <v>178.43</v>
    <v>176.97</v>
    <v>177.69</v>
    <v>178.19</v>
    <v>181.85</v>
    <v>186.58</v>
    <v>187.24</v>
    <v>188.89</v>
    <v>187.62</v>
    <v>185.54</v>
    <v>185.04</v>
    <v>189.11</v>
    <v>192.57</v>
    <v>183.16</v>
    <v>188.32</v>
    <v>180.03</v>
    <v>179.83</v>
    <v>181.81</v>
    <v>183.22</v>
    <v>182.64</v>
    <v>181.16</v>
    <v>180.28</v>
    <v>182.16</v>
    <v>186.26</v>
    <v>191.49</v>
    <v>201.03</v>
    <v>207.04</v>
    <v>202.89</v>
    <v>202.49</v>
    <v>206.88</v>
    <v>198.69</v>
    <v>195.21</v>
    <v>188.08</v>
    <v>188.15</v>
    <v>199.05</v>
    <v>193.16</v>
    <v>193.8</v>
    <v>186.86</v>
    <v>190.17</v>
    <v>186.6</v>
    <v>181.36</v>
    <v>186.52</v>
    <v>180.64</v>
    <v>178.88</v>
    <v>182.55</v>
    <v>177.82</v>
    <v>180.26</v>
    <v>177</v>
    <v>179.92</v>
    <v>181.46</v>
    <v>179.59</v>
    <v>183.38</v>
    <v>182.41</v>
    <v>185.55</v>
    <v>184.97</v>
    <v>183.78</v>
    <v>180.93</v>
    <v>175.02</v>
    <v>176.29</v>
    <v>177.72</v>
    <v>170.94</v>
    <v>174.14</v>
    <v>180.99</v>
    <v>183.69</v>
    <v>189.21</v>
    <v>188.61</v>
    <v>190.53</v>
    <v>188.22</v>
    <v>187.54</v>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v>177.64</v>
    <v>178.1</v>
    <v>182.08</v>
    <v>183.91</v>
    <v>188.63</v>
    <v>189.31</v>
    <v>196.51</v>
    <v>198.87</v>
    <v>198.35</v>
    <v>201.68</v>
    <v>202.06</v>
    <v>199.88</v>
    <v>202.5</v>
    <v>199.64</v>
    <v>208.27</v>
    <v>216.61</v>
    <v>213.17</v>
    <v>209.25</v>
    <v>199.57</v>
    <v>198.45</v>
    <v>198.48</v>
    <v>196.5</v>
    <v>207.83</v>
    <v>211.5</v>
    <v>215.2</v>
    <v>219.44</v>
    <v>220.78</v>
    <v>225.83</v>
    <v>235.74</v>
    <v>225.32</v>
    <v>222.32</v>
    <v>220.61</v>
    <v>223.47</v>
    <v>219.51</v>
    <v>215.33</v>
    <v>214.86</v>
    <v>212.6</v>
    <v>214.25</v>
    <v>211.14</v>
    <v>224.36</v>
    <v>222.82</v>
    <v>214.75</v>
    <v>218.66</v>
    <v>205.1</v>
    <v>208.64</v>
    <v>208.19</v>
    <v>200.42</v>
    <v>204.87</v>
    <v>205.19</v>
    <v>212.45</v>
    <v>207.41</v>
    <v>204.65</v>
    <v>210.69</v>
    <v>208.65</v>
    <v>200.04</v>
    <v>199</v>
    <v>195.74</v>
    <v>192.53</v>
    <v>194.97</v>
    <v>200.09</v>
    <v>197.58</v>
    <v>194.83</v>
    <v>195.55</v>
    <v>196.93</v>
    <v>204.12</v>
    <v>202.78</v>
    <v>210.96</v>
    <v>203.53</v>
    <v>211.8</v>
    <v>212.5</v>
    <v>207.4</v>
    <v>202.81</v>
    <v>203.28</v>
    <v>207.29</v>
    <v>212.06</v>
    <v>208.76</v>
    <v>206.84</v>
    <v>196.51</v>
    <v>197.01</v>
    <v>190.01</v>
    <v>195.04</v>
    <v>200.75</v>
    <v>206.64</v>
    <v>211.94</v>
    <v>219.22</v>
    <v>218.99</v>
    <v>223.96</v>
    <v>217.55</v>
    <v>217.5</v>
    <v>224.09</v>
    <v>225.3</v>
    <v>225.16</v>
    <v>225.01</v>
    <v>219.74</v>
    <v>217.56</v>
    <v>216.85</v>
    <v>214.72</v>
    <v>208.48</v>
    <v>213.05</v>
    <v>209.66</v>
    <v>227.98</v>
    <v>217.55</v>
    <v>220.78</v>
    <v>217.44</v>
    <v>224.41</v>
    <v>228.45</v>
    <v>230.36</v>
    <v>225.73</v>
    <v>223.67</v>
    <v>218.36</v>
    <v>218.29</v>
    <v>210.96</v>
    <v>212.17</v>
    <v>213.9</v>
  </a>
</arrayData>
</file>

<file path=xl/richData/rdrichvalue.xml><?xml version="1.0" encoding="utf-8"?>
<rvData xmlns="http://schemas.microsoft.com/office/spreadsheetml/2017/richdata" count="3184">
  <rv s="0">
    <v>https://www.bing.com/financeapi/forcetrigger?t=a1yv52&amp;q=XNAS%3aNVDA&amp;form=skydnc</v>
    <v>Learn more on Bing</v>
  </rv>
  <rv s="1">
    <v>en-US</v>
    <v>a1yv52</v>
    <v>268435456</v>
    <v>1</v>
    <v>Powered by Refinitiv</v>
    <v>0</v>
    <v>NVIDIA CORPORATION (XNAS:NVDA)</v>
    <v>2</v>
    <v>3</v>
    <v>Finance</v>
    <v>4</v>
    <v>236.54</v>
    <v>164.27</v>
    <v>2.2229000000000001</v>
    <v>1.73</v>
    <v>8.1539999999999998E-3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216.76</v>
    <v>Semiconductors &amp; Semiconductor Equipment</v>
    <v>Stock</v>
    <v>46281.999954721876</v>
    <v>0</v>
    <v>212.5</v>
    <v>5154990000000</v>
    <v>NVIDIA CORPORATION</v>
    <v>NVIDIA CORPORATION</v>
    <v>214.14</v>
    <v>27.039200000000001</v>
    <v>212.17</v>
    <v>213.9</v>
    <v>24100000000</v>
    <v>NVDA</v>
    <v>NVIDIA CORPORATION (XNAS:NVDA)</v>
    <v>1133370</v>
    <v>123345266</v>
    <v>1998</v>
  </rv>
  <rv s="2">
    <v>1</v>
  </rv>
  <rv s="3">
    <fb>43948</fb>
    <v>5</v>
  </rv>
  <rv s="3">
    <fb>7.4269999999999996</fb>
    <v>6</v>
  </rv>
  <rv s="3">
    <fb>43949</fb>
    <v>5</v>
  </rv>
  <rv s="3">
    <fb>7.2839999999999998</fb>
    <v>6</v>
  </rv>
  <rv s="3">
    <fb>43950</fb>
    <v>5</v>
  </rv>
  <rv s="3">
    <fb>7.4615</fb>
    <v>6</v>
  </rv>
  <rv s="3">
    <fb>43951</fb>
    <v>5</v>
  </rv>
  <rv s="3">
    <fb>7.3070000000000004</fb>
    <v>6</v>
  </rv>
  <rv s="3">
    <fb>43952</fb>
    <v>5</v>
  </rv>
  <rv s="3">
    <fb>7.0694999999999997</fb>
    <v>6</v>
  </rv>
  <rv s="3">
    <fb>43955</fb>
    <v>5</v>
  </rv>
  <rv s="3">
    <fb>7.2820999999999998</fb>
    <v>6</v>
  </rv>
  <rv s="3">
    <fb>43956</fb>
    <v>5</v>
  </rv>
  <rv s="3">
    <fb>7.3434999999999997</fb>
    <v>6</v>
  </rv>
  <rv s="3">
    <fb>43957</fb>
    <v>5</v>
  </rv>
  <rv s="3">
    <fb>7.4447999999999999</fb>
    <v>6</v>
  </rv>
  <rv s="3">
    <fb>43958</fb>
    <v>5</v>
  </rv>
  <rv s="3">
    <fb>7.6218000000000004</fb>
    <v>6</v>
  </rv>
  <rv s="3">
    <fb>43959</fb>
    <v>5</v>
  </rv>
  <rv s="3">
    <fb>7.8125</fb>
    <v>6</v>
  </rv>
  <rv s="3">
    <fb>43962</fb>
    <v>5</v>
  </rv>
  <rv s="3">
    <fb>8.0655000000000001</fb>
    <v>6</v>
  </rv>
  <rv s="3">
    <fb>43963</fb>
    <v>5</v>
  </rv>
  <rv s="3">
    <fb>7.8025000000000002</fb>
    <v>6</v>
  </rv>
  <rv s="3">
    <fb>43964</fb>
    <v>5</v>
  </rv>
  <rv s="3">
    <fb>7.78</fb>
    <v>6</v>
  </rv>
  <rv s="3">
    <fb>43965</fb>
    <v>5</v>
  </rv>
  <rv s="3">
    <fb>8.0305</fb>
    <v>6</v>
  </rv>
  <rv s="3">
    <fb>43966</fb>
    <v>5</v>
  </rv>
  <rv s="3">
    <fb>8.4908000000000001</fb>
    <v>6</v>
  </rv>
  <rv s="3">
    <fb>43969</fb>
    <v>5</v>
  </rv>
  <rv s="3">
    <fb>8.7502999999999993</fb>
    <v>6</v>
  </rv>
  <rv s="3">
    <fb>43970</fb>
    <v>5</v>
  </rv>
  <rv s="3">
    <fb>8.8055000000000003</fb>
    <v>6</v>
  </rv>
  <rv s="3">
    <fb>43971</fb>
    <v>5</v>
  </rv>
  <rv s="3">
    <fb>8.9700000000000006</fb>
    <v>6</v>
  </rv>
  <rv s="3">
    <fb>43972</fb>
    <v>5</v>
  </rv>
  <rv s="3">
    <fb>8.7752999999999997</fb>
    <v>6</v>
  </rv>
  <rv s="3">
    <fb>43973</fb>
    <v>5</v>
  </rv>
  <rv s="3">
    <fb>9.0263000000000009</fb>
    <v>6</v>
  </rv>
  <rv s="3">
    <fb>43977</fb>
    <v>5</v>
  </rv>
  <rv s="3">
    <fb>8.7178000000000004</fb>
    <v>6</v>
  </rv>
  <rv s="3">
    <fb>43978</fb>
    <v>5</v>
  </rv>
  <rv s="3">
    <fb>8.5252999999999997</fb>
    <v>6</v>
  </rv>
  <rv s="3">
    <fb>43979</fb>
    <v>5</v>
  </rv>
  <rv s="3">
    <fb>8.4870000000000001</fb>
    <v>6</v>
  </rv>
  <rv s="3">
    <fb>43980</fb>
    <v>5</v>
  </rv>
  <rv s="3">
    <fb>8.8755000000000006</fb>
    <v>6</v>
  </rv>
  <rv s="3">
    <fb>43983</fb>
    <v>5</v>
  </rv>
  <rv s="3">
    <fb>8.8063000000000002</fb>
    <v>6</v>
  </rv>
  <rv s="3">
    <fb>43984</fb>
    <v>5</v>
  </rv>
  <rv s="3">
    <fb>8.8253000000000004</fb>
    <v>6</v>
  </rv>
  <rv s="3">
    <fb>43985</fb>
    <v>5</v>
  </rv>
  <rv s="3">
    <fb>8.7695000000000007</fb>
    <v>6</v>
  </rv>
  <rv s="3">
    <fb>43986</fb>
    <v>5</v>
  </rv>
  <rv s="3">
    <fb>8.7665000000000006</fb>
    <v>6</v>
  </rv>
  <rv s="3">
    <fb>43987</fb>
    <v>5</v>
  </rv>
  <rv s="3">
    <fb>8.92</fb>
    <v>6</v>
  </rv>
  <rv s="3">
    <fb>43990</fb>
    <v>5</v>
  </rv>
  <rv s="3">
    <fb>8.8049999999999997</fb>
    <v>6</v>
  </rv>
  <rv s="3">
    <fb>43991</fb>
    <v>5</v>
  </rv>
  <rv s="3">
    <fb>9.0459999999999994</fb>
    <v>6</v>
  </rv>
  <rv s="3">
    <fb>43992</fb>
    <v>5</v>
  </rv>
  <rv s="3">
    <fb>9.3667999999999996</fb>
    <v>6</v>
  </rv>
  <rv s="3">
    <fb>43993</fb>
    <v>5</v>
  </rv>
  <rv s="3">
    <fb>8.7963000000000005</fb>
    <v>6</v>
  </rv>
  <rv s="3">
    <fb>43994</fb>
    <v>5</v>
  </rv>
  <rv s="3">
    <fb>8.9324999999999992</fb>
    <v>6</v>
  </rv>
  <rv s="3">
    <fb>43997</fb>
    <v>5</v>
  </rv>
  <rv s="3">
    <fb>9.1738</fb>
    <v>6</v>
  </rv>
  <rv s="3">
    <fb>43998</fb>
    <v>5</v>
  </rv>
  <rv s="3">
    <fb>9.0685000000000002</fb>
    <v>6</v>
  </rv>
  <rv s="3">
    <fb>43999</fb>
    <v>5</v>
  </rv>
  <rv s="3">
    <fb>9.2360000000000007</fb>
    <v>6</v>
  </rv>
  <rv s="3">
    <fb>44000</fb>
    <v>5</v>
  </rv>
  <rv s="3">
    <fb>9.218</fb>
    <v>6</v>
  </rv>
  <rv s="3">
    <fb>44001</fb>
    <v>5</v>
  </rv>
  <rv s="3">
    <fb>9.2613000000000003</fb>
    <v>6</v>
  </rv>
  <rv s="3">
    <fb>44004</fb>
    <v>5</v>
  </rv>
  <rv s="3">
    <fb>9.5267999999999997</fb>
    <v>6</v>
  </rv>
  <rv s="3">
    <fb>44005</fb>
    <v>5</v>
  </rv>
  <rv s="3">
    <fb>9.4499999999999993</fb>
    <v>6</v>
  </rv>
  <rv s="3">
    <fb>44006</fb>
    <v>5</v>
  </rv>
  <rv s="3">
    <fb>9.2355</fb>
    <v>6</v>
  </rv>
  <rv s="3">
    <fb>44007</fb>
    <v>5</v>
  </rv>
  <rv s="3">
    <fb>9.49</fb>
    <v>6</v>
  </rv>
  <rv s="3">
    <fb>44008</fb>
    <v>5</v>
  </rv>
  <rv s="3">
    <fb>9.1549999999999994</fb>
    <v>6</v>
  </rv>
  <rv s="3">
    <fb>44011</fb>
    <v>5</v>
  </rv>
  <rv s="3">
    <fb>9.1999999999999993</fb>
    <v>6</v>
  </rv>
  <rv s="3">
    <fb>44012</fb>
    <v>5</v>
  </rv>
  <rv s="3">
    <fb>9.4977999999999998</fb>
    <v>6</v>
  </rv>
  <rv s="3">
    <fb>44013</fb>
    <v>5</v>
  </rv>
  <rv s="3">
    <fb>9.5299999999999994</fb>
    <v>6</v>
  </rv>
  <rv s="3">
    <fb>44014</fb>
    <v>5</v>
  </rv>
  <rv s="3">
    <fb>9.6122999999999994</fb>
    <v>6</v>
  </rv>
  <rv s="3">
    <fb>44018</fb>
    <v>5</v>
  </rv>
  <rv s="3">
    <fb>9.8392999999999997</fb>
    <v>6</v>
  </rv>
  <rv s="3">
    <fb>44019</fb>
    <v>5</v>
  </rv>
  <rv s="3">
    <fb>9.8718000000000004</fb>
    <v>6</v>
  </rv>
  <rv s="3">
    <fb>44020</fb>
    <v>5</v>
  </rv>
  <rv s="3">
    <fb>10.215999999999999</fb>
    <v>6</v>
  </rv>
  <rv s="3">
    <fb>44021</fb>
    <v>5</v>
  </rv>
  <rv s="3">
    <fb>10.509</fb>
    <v>6</v>
  </rv>
  <rv s="3">
    <fb>44022</fb>
    <v>5</v>
  </rv>
  <rv s="3">
    <fb>10.4793</fb>
    <v>6</v>
  </rv>
  <rv s="3">
    <fb>44025</fb>
    <v>5</v>
  </rv>
  <rv s="3">
    <fb>10.052300000000001</fb>
    <v>6</v>
  </rv>
  <rv s="3">
    <fb>44026</fb>
    <v>5</v>
  </rv>
  <rv s="3">
    <fb>10.377000000000001</fb>
    <v>6</v>
  </rv>
  <rv s="3">
    <fb>44027</fb>
    <v>5</v>
  </rv>
  <rv s="3">
    <fb>10.2273</fb>
    <v>6</v>
  </rv>
  <rv s="3">
    <fb>44028</fb>
    <v>5</v>
  </rv>
  <rv s="3">
    <fb>10.1348</fb>
    <v>6</v>
  </rv>
  <rv s="3">
    <fb>44029</fb>
    <v>5</v>
  </rv>
  <rv s="3">
    <fb>10.201499999999999</fb>
    <v>6</v>
  </rv>
  <rv s="3">
    <fb>44032</fb>
    <v>5</v>
  </rv>
  <rv s="3">
    <fb>10.5108</fb>
    <v>6</v>
  </rv>
  <rv s="3">
    <fb>44033</fb>
    <v>5</v>
  </rv>
  <rv s="3">
    <fb>10.3285</fb>
    <v>6</v>
  </rv>
  <rv s="3">
    <fb>44034</fb>
    <v>5</v>
  </rv>
  <rv s="3">
    <fb>10.438800000000001</fb>
    <v>6</v>
  </rv>
  <rv s="3">
    <fb>44035</fb>
    <v>5</v>
  </rv>
  <rv s="3">
    <fb>10.129799999999999</fb>
    <v>6</v>
  </rv>
  <rv s="3">
    <fb>44036</fb>
    <v>5</v>
  </rv>
  <rv s="3">
    <fb>10.1945</fb>
    <v>6</v>
  </rv>
  <rv s="3">
    <fb>44039</fb>
    <v>5</v>
  </rv>
  <rv s="3">
    <fb>10.4215</fb>
    <v>6</v>
  </rv>
  <rv s="3">
    <fb>44040</fb>
    <v>5</v>
  </rv>
  <rv s="3">
    <fb>10.2155</fb>
    <v>6</v>
  </rv>
  <rv s="3">
    <fb>44041</fb>
    <v>5</v>
  </rv>
  <rv s="3">
    <fb>10.4655</fb>
    <v>6</v>
  </rv>
  <rv s="3">
    <fb>44042</fb>
    <v>5</v>
  </rv>
  <rv s="3">
    <fb>10.614000000000001</fb>
    <v>6</v>
  </rv>
  <rv s="3">
    <fb>44043</fb>
    <v>5</v>
  </rv>
  <rv s="3">
    <fb>10.614800000000001</fb>
    <v>6</v>
  </rv>
  <rv s="3">
    <fb>44046</fb>
    <v>5</v>
  </rv>
  <rv s="3">
    <fb>11.010300000000001</fb>
    <v>6</v>
  </rv>
  <rv s="3">
    <fb>44047</fb>
    <v>5</v>
  </rv>
  <rv s="3">
    <fb>11.2278</fb>
    <v>6</v>
  </rv>
  <rv s="3">
    <fb>44048</fb>
    <v>5</v>
  </rv>
  <rv s="3">
    <fb>11.286799999999999</fb>
    <v>6</v>
  </rv>
  <rv s="3">
    <fb>44049</fb>
    <v>5</v>
  </rv>
  <rv s="3">
    <fb>11.3355</fb>
    <v>6</v>
  </rv>
  <rv s="3">
    <fb>44050</fb>
    <v>5</v>
  </rv>
  <rv s="3">
    <fb>11.1995</fb>
    <v>6</v>
  </rv>
  <rv s="3">
    <fb>44053</fb>
    <v>5</v>
  </rv>
  <rv s="3">
    <fb>11.164999999999999</fb>
    <v>6</v>
  </rv>
  <rv s="3">
    <fb>44054</fb>
    <v>5</v>
  </rv>
  <rv s="3">
    <fb>10.85</fb>
    <v>6</v>
  </rv>
  <rv s="3">
    <fb>44055</fb>
    <v>5</v>
  </rv>
  <rv s="3">
    <fb>11.440300000000001</fb>
    <v>6</v>
  </rv>
  <rv s="3">
    <fb>44056</fb>
    <v>5</v>
  </rv>
  <rv s="3">
    <fb>11.443</fb>
    <v>6</v>
  </rv>
  <rv s="3">
    <fb>44057</fb>
    <v>5</v>
  </rv>
  <rv s="3">
    <fb>11.564</fb>
    <v>6</v>
  </rv>
  <rv s="3">
    <fb>44060</fb>
    <v>5</v>
  </rv>
  <rv s="3">
    <fb>12.337</fb>
    <v>6</v>
  </rv>
  <rv s="3">
    <fb>44061</fb>
    <v>5</v>
  </rv>
  <rv s="3">
    <fb>12.2608</fb>
    <v>6</v>
  </rv>
  <rv s="3">
    <fb>44062</fb>
    <v>5</v>
  </rv>
  <rv s="3">
    <fb>12.138500000000001</fb>
    <v>6</v>
  </rv>
  <rv s="3">
    <fb>44063</fb>
    <v>5</v>
  </rv>
  <rv s="3">
    <fb>12.141</fb>
    <v>6</v>
  </rv>
  <rv s="3">
    <fb>44064</fb>
    <v>5</v>
  </rv>
  <rv s="3">
    <fb>12.6835</fb>
    <v>6</v>
  </rv>
  <rv s="3">
    <fb>44067</fb>
    <v>5</v>
  </rv>
  <rv s="3">
    <fb>12.7203</fb>
    <v>6</v>
  </rv>
  <rv s="3">
    <fb>44068</fb>
    <v>5</v>
  </rv>
  <rv s="3">
    <fb>12.75</fb>
    <v>6</v>
  </rv>
  <rv s="3">
    <fb>44069</fb>
    <v>5</v>
  </rv>
  <rv s="3">
    <fb>12.773</fb>
    <v>6</v>
  </rv>
  <rv s="3">
    <fb>44070</fb>
    <v>5</v>
  </rv>
  <rv s="3">
    <fb>12.628299999999999</fb>
    <v>6</v>
  </rv>
  <rv s="3">
    <fb>44071</fb>
    <v>5</v>
  </rv>
  <rv s="3">
    <fb>13.1478</fb>
    <v>6</v>
  </rv>
  <rv s="3">
    <fb>44074</fb>
    <v>5</v>
  </rv>
  <rv s="3">
    <fb>13.374499999999999</fb>
    <v>6</v>
  </rv>
  <rv s="3">
    <fb>44075</fb>
    <v>5</v>
  </rv>
  <rv s="3">
    <fb>13.821</fb>
    <v>6</v>
  </rv>
  <rv s="3">
    <fb>44076</fb>
    <v>5</v>
  </rv>
  <rv s="3">
    <fb>14.346500000000001</fb>
    <v>6</v>
  </rv>
  <rv s="3">
    <fb>44077</fb>
    <v>5</v>
  </rv>
  <rv s="3">
    <fb>13.015499999999999</fb>
    <v>6</v>
  </rv>
  <rv s="3">
    <fb>44078</fb>
    <v>5</v>
  </rv>
  <rv s="3">
    <fb>12.6225</fb>
    <v>6</v>
  </rv>
  <rv s="3">
    <fb>44082</fb>
    <v>5</v>
  </rv>
  <rv s="3">
    <fb>11.913</fb>
    <v>6</v>
  </rv>
  <rv s="3">
    <fb>44083</fb>
    <v>5</v>
  </rv>
  <rv s="3">
    <fb>12.715</fb>
    <v>6</v>
  </rv>
  <rv s="3">
    <fb>44084</fb>
    <v>5</v>
  </rv>
  <rv s="3">
    <fb>12.3118</fb>
    <v>6</v>
  </rv>
  <rv s="3">
    <fb>44085</fb>
    <v>5</v>
  </rv>
  <rv s="3">
    <fb>12.1645</fb>
    <v>6</v>
  </rv>
  <rv s="3">
    <fb>44088</fb>
    <v>5</v>
  </rv>
  <rv s="3">
    <fb>12.872299999999999</fb>
    <v>6</v>
  </rv>
  <rv s="3">
    <fb>44089</fb>
    <v>5</v>
  </rv>
  <rv s="3">
    <fb>12.991</fb>
    <v>6</v>
  </rv>
  <rv s="3">
    <fb>44090</fb>
    <v>5</v>
  </rv>
  <rv s="3">
    <fb>12.5145</fb>
    <v>6</v>
  </rv>
  <rv s="3">
    <fb>44091</fb>
    <v>5</v>
  </rv>
  <rv s="3">
    <fb>12.4635</fb>
    <v>6</v>
  </rv>
  <rv s="3">
    <fb>44092</fb>
    <v>5</v>
  </rv>
  <rv s="3">
    <fb>12.189299999999999</fb>
    <v>6</v>
  </rv>
  <rv s="3">
    <fb>44095</fb>
    <v>5</v>
  </rv>
  <rv s="3">
    <fb>12.517300000000001</fb>
    <v>6</v>
  </rv>
  <rv s="3">
    <fb>44096</fb>
    <v>5</v>
  </rv>
  <rv s="3">
    <fb>12.6378</fb>
    <v>6</v>
  </rv>
  <rv s="3">
    <fb>44097</fb>
    <v>5</v>
  </rv>
  <rv s="3">
    <fb>12.123799999999999</fb>
    <v>6</v>
  </rv>
  <rv s="3">
    <fb>44098</fb>
    <v>5</v>
  </rv>
  <rv s="3">
    <fb>12.348000000000001</fb>
    <v>6</v>
  </rv>
  <rv s="3">
    <fb>44099</fb>
    <v>5</v>
  </rv>
  <rv s="3">
    <fb>12.873799999999999</fb>
    <v>6</v>
  </rv>
  <rv s="3">
    <fb>44102</fb>
    <v>5</v>
  </rv>
  <rv s="3">
    <fb>13.035</fb>
    <v>6</v>
  </rv>
  <rv s="3">
    <fb>44103</fb>
    <v>5</v>
  </rv>
  <rv s="3">
    <fb>13.2258</fb>
    <v>6</v>
  </rv>
  <rv s="3">
    <fb>44104</fb>
    <v>5</v>
  </rv>
  <rv s="3">
    <fb>13.5305</fb>
    <v>6</v>
  </rv>
  <rv s="3">
    <fb>44105</fb>
    <v>5</v>
  </rv>
  <rv s="3">
    <fb>13.6145</fb>
    <v>6</v>
  </rv>
  <rv s="3">
    <fb>44106</fb>
    <v>5</v>
  </rv>
  <rv s="3">
    <fb>13.0623</fb>
    <v>6</v>
  </rv>
  <rv s="3">
    <fb>44109</fb>
    <v>5</v>
  </rv>
  <rv s="3">
    <fb>13.6425</fb>
    <v>6</v>
  </rv>
  <rv s="3">
    <fb>44110</fb>
    <v>5</v>
  </rv>
  <rv s="3">
    <fb>13.736499999999999</fb>
    <v>6</v>
  </rv>
  <rv s="3">
    <fb>44111</fb>
    <v>5</v>
  </rv>
  <rv s="3">
    <fb>13.964</fb>
    <v>6</v>
  </rv>
  <rv s="3">
    <fb>44112</fb>
    <v>5</v>
  </rv>
  <rv s="3">
    <fb>13.838800000000001</fb>
    <v>6</v>
  </rv>
  <rv s="3">
    <fb>44113</fb>
    <v>5</v>
  </rv>
  <rv s="3">
    <fb>13.7628</fb>
    <v>6</v>
  </rv>
  <rv s="3">
    <fb>44116</fb>
    <v>5</v>
  </rv>
  <rv s="3">
    <fb>14.226000000000001</fb>
    <v>6</v>
  </rv>
  <rv s="3">
    <fb>44117</fb>
    <v>5</v>
  </rv>
  <rv s="3">
    <fb>14.2483</fb>
    <v>6</v>
  </rv>
  <rv s="3">
    <fb>44118</fb>
    <v>5</v>
  </rv>
  <rv s="3">
    <fb>14.0953</fb>
    <v>6</v>
  </rv>
  <rv s="3">
    <fb>44119</fb>
    <v>5</v>
  </rv>
  <rv s="3">
    <fb>13.97</fb>
    <v>6</v>
  </rv>
  <rv s="3">
    <fb>44120</fb>
    <v>5</v>
  </rv>
  <rv s="3">
    <fb>13.811500000000001</fb>
    <v>6</v>
  </rv>
  <rv s="3">
    <fb>44123</fb>
    <v>5</v>
  </rv>
  <rv s="3">
    <fb>13.4978</fb>
    <v>6</v>
  </rv>
  <rv s="3">
    <fb>44124</fb>
    <v>5</v>
  </rv>
  <rv s="3">
    <fb>13.6455</fb>
    <v>6</v>
  </rv>
  <rv s="3">
    <fb>44125</fb>
    <v>5</v>
  </rv>
  <rv s="3">
    <fb>13.524800000000001</fb>
    <v>6</v>
  </rv>
  <rv s="3">
    <fb>44126</fb>
    <v>5</v>
  </rv>
  <rv s="3">
    <fb>13.361000000000001</fb>
    <v>6</v>
  </rv>
  <rv s="3">
    <fb>44127</fb>
    <v>5</v>
  </rv>
  <rv s="3">
    <fb>13.590299999999999</fb>
    <v>6</v>
  </rv>
  <rv s="3">
    <fb>44130</fb>
    <v>5</v>
  </rv>
  <rv s="3">
    <fb>13.141299999999999</fb>
    <v>6</v>
  </rv>
  <rv s="3">
    <fb>44131</fb>
    <v>5</v>
  </rv>
  <rv s="3">
    <fb>13.396800000000001</fb>
    <v>6</v>
  </rv>
  <rv s="3">
    <fb>44132</fb>
    <v>5</v>
  </rv>
  <rv s="3">
    <fb>12.627000000000001</fb>
    <v>6</v>
  </rv>
  <rv s="3">
    <fb>44133</fb>
    <v>5</v>
  </rv>
  <rv s="3">
    <fb>13.023999999999999</fb>
    <v>6</v>
  </rv>
  <rv s="3">
    <fb>44134</fb>
    <v>5</v>
  </rv>
  <rv s="3">
    <fb>12.534000000000001</fb>
    <v>6</v>
  </rv>
  <rv s="3">
    <fb>44137</fb>
    <v>5</v>
  </rv>
  <rv s="3">
    <fb>12.5808</fb>
    <v>6</v>
  </rv>
  <rv s="3">
    <fb>44138</fb>
    <v>5</v>
  </rv>
  <rv s="3">
    <fb>13.019500000000001</fb>
    <v>6</v>
  </rv>
  <rv s="3">
    <fb>44139</fb>
    <v>5</v>
  </rv>
  <rv s="3">
    <fb>13.7943</fb>
    <v>6</v>
  </rv>
  <rv s="3">
    <fb>44140</fb>
    <v>5</v>
  </rv>
  <rv s="3">
    <fb>14.16</fb>
    <v>6</v>
  </rv>
  <rv s="3">
    <fb>44141</fb>
    <v>5</v>
  </rv>
  <rv s="3">
    <fb>14.561999999999999</fb>
    <v>6</v>
  </rv>
  <rv s="3">
    <fb>44144</fb>
    <v>5</v>
  </rv>
  <rv s="3">
    <fb>13.630800000000001</fb>
    <v>6</v>
  </rv>
  <rv s="3">
    <fb>44145</fb>
    <v>5</v>
  </rv>
  <rv s="3">
    <fb>12.77</fb>
    <v>6</v>
  </rv>
  <rv s="3">
    <fb>44146</fb>
    <v>5</v>
  </rv>
  <rv s="3">
    <fb>13.417999999999999</fb>
    <v>6</v>
  </rv>
  <rv s="3">
    <fb>44147</fb>
    <v>5</v>
  </rv>
  <rv s="3">
    <fb>13.456799999999999</fb>
    <v>6</v>
  </rv>
  <rv s="3">
    <fb>44148</fb>
    <v>5</v>
  </rv>
  <rv s="3">
    <fb>13.297000000000001</fb>
    <v>6</v>
  </rv>
  <rv s="3">
    <fb>44151</fb>
    <v>5</v>
  </rv>
  <rv s="3">
    <fb>13.5153</fb>
    <v>6</v>
  </rv>
  <rv s="3">
    <fb>44152</fb>
    <v>5</v>
  </rv>
  <rv s="3">
    <fb>13.4223</fb>
    <v>6</v>
  </rv>
  <rv s="3">
    <fb>44153</fb>
    <v>5</v>
  </rv>
  <rv s="3">
    <fb>13.428800000000001</fb>
    <v>6</v>
  </rv>
  <rv s="3">
    <fb>44154</fb>
    <v>5</v>
  </rv>
  <rv s="3">
    <fb>13.440300000000001</fb>
    <v>6</v>
  </rv>
  <rv s="3">
    <fb>44155</fb>
    <v>5</v>
  </rv>
  <rv s="3">
    <fb>13.0878</fb>
    <v>6</v>
  </rv>
  <rv s="3">
    <fb>44158</fb>
    <v>5</v>
  </rv>
  <rv s="3">
    <fb>13.14</fb>
    <v>6</v>
  </rv>
  <rv s="3">
    <fb>44159</fb>
    <v>5</v>
  </rv>
  <rv s="3">
    <fb>12.957700000000001</fb>
    <v>6</v>
  </rv>
  <rv s="3">
    <fb>44160</fb>
    <v>5</v>
  </rv>
  <rv s="3">
    <fb>13.2348</fb>
    <v>6</v>
  </rv>
  <rv s="3">
    <fb>44162</fb>
    <v>5</v>
  </rv>
  <rv s="3">
    <fb>13.2613</fb>
    <v>6</v>
  </rv>
  <rv s="3">
    <fb>44165</fb>
    <v>5</v>
  </rv>
  <rv s="3">
    <fb>13.4015</fb>
    <v>6</v>
  </rv>
  <rv s="3">
    <fb>44166</fb>
    <v>5</v>
  </rv>
  <rv s="3">
    <fb>13.39</fb>
    <v>6</v>
  </rv>
  <rv s="3">
    <fb>44167</fb>
    <v>5</v>
  </rv>
  <rv s="3">
    <fb>13.544499999999999</fb>
    <v>6</v>
  </rv>
  <rv s="3">
    <fb>44168</fb>
    <v>5</v>
  </rv>
  <rv s="3">
    <fb>13.396000000000001</fb>
    <v>6</v>
  </rv>
  <rv s="3">
    <fb>44169</fb>
    <v>5</v>
  </rv>
  <rv s="3">
    <fb>13.558299999999999</fb>
    <v>6</v>
  </rv>
  <rv s="3">
    <fb>44172</fb>
    <v>5</v>
  </rv>
  <rv s="3">
    <fb>13.6068</fb>
    <v>6</v>
  </rv>
  <rv s="3">
    <fb>44173</fb>
    <v>5</v>
  </rv>
  <rv s="3">
    <fb>13.35</fb>
    <v>6</v>
  </rv>
  <rv s="3">
    <fb>44174</fb>
    <v>5</v>
  </rv>
  <rv s="3">
    <fb>12.9308</fb>
    <v>6</v>
  </rv>
  <rv s="3">
    <fb>44175</fb>
    <v>5</v>
  </rv>
  <rv s="3">
    <fb>12.972300000000001</fb>
    <v>6</v>
  </rv>
  <rv s="3">
    <fb>44176</fb>
    <v>5</v>
  </rv>
  <rv s="3">
    <fb>13.013299999999999</fb>
    <v>6</v>
  </rv>
  <rv s="3">
    <fb>44179</fb>
    <v>5</v>
  </rv>
  <rv s="3">
    <fb>13.3088</fb>
    <v>6</v>
  </rv>
  <rv s="3">
    <fb>44180</fb>
    <v>5</v>
  </rv>
  <rv s="3">
    <fb>13.3605</fb>
    <v>6</v>
  </rv>
  <rv s="3">
    <fb>44181</fb>
    <v>5</v>
  </rv>
  <rv s="3">
    <fb>13.2425</fb>
    <v>6</v>
  </rv>
  <rv s="3">
    <fb>44182</fb>
    <v>5</v>
  </rv>
  <rv s="3">
    <fb>13.3413</fb>
    <v>6</v>
  </rv>
  <rv s="3">
    <fb>44183</fb>
    <v>5</v>
  </rv>
  <rv s="3">
    <fb>13.272</fb>
    <v>6</v>
  </rv>
  <rv s="3">
    <fb>44186</fb>
    <v>5</v>
  </rv>
  <rv s="3">
    <fb>13.3323</fb>
    <v>6</v>
  </rv>
  <rv s="3">
    <fb>44187</fb>
    <v>5</v>
  </rv>
  <rv s="3">
    <fb>13.2783</fb>
    <v>6</v>
  </rv>
  <rv s="3">
    <fb>44188</fb>
    <v>5</v>
  </rv>
  <rv s="3">
    <fb>13.0093</fb>
    <v>6</v>
  </rv>
  <rv s="3">
    <fb>44189</fb>
    <v>5</v>
  </rv>
  <rv s="3">
    <fb>12.9938</fb>
    <v>6</v>
  </rv>
  <rv s="3">
    <fb>44193</fb>
    <v>5</v>
  </rv>
  <rv s="3">
    <fb>12.9</fb>
    <v>6</v>
  </rv>
  <rv s="3">
    <fb>44194</fb>
    <v>5</v>
  </rv>
  <rv s="3">
    <fb>12.943300000000001</fb>
    <v>6</v>
  </rv>
  <rv s="3">
    <fb>44195</fb>
    <v>5</v>
  </rv>
  <rv s="3">
    <fb>13.145799999999999</fb>
    <v>6</v>
  </rv>
  <rv s="3">
    <fb>44196</fb>
    <v>5</v>
  </rv>
  <rv s="3">
    <fb>13.055</fb>
    <v>6</v>
  </rv>
  <rv s="3">
    <fb>44200</fb>
    <v>5</v>
  </rv>
  <rv s="3">
    <fb>13.1135</fb>
    <v>6</v>
  </rv>
  <rv s="3">
    <fb>44201</fb>
    <v>5</v>
  </rv>
  <rv s="3">
    <fb>13.4048</fb>
    <v>6</v>
  </rv>
  <rv s="3">
    <fb>44202</fb>
    <v>5</v>
  </rv>
  <rv s="3">
    <fb>12.6145</fb>
    <v>6</v>
  </rv>
  <rv s="3">
    <fb>44203</fb>
    <v>5</v>
  </rv>
  <rv s="3">
    <fb>13.343999999999999</fb>
    <v>6</v>
  </rv>
  <rv s="3">
    <fb>44204</fb>
    <v>5</v>
  </rv>
  <rv s="3">
    <fb>13.2768</fb>
    <v>6</v>
  </rv>
  <rv s="3">
    <fb>44207</fb>
    <v>5</v>
  </rv>
  <rv s="3">
    <fb>13.621499999999999</fb>
    <v>6</v>
  </rv>
  <rv s="3">
    <fb>44208</fb>
    <v>5</v>
  </rv>
  <rv s="3">
    <fb>13.4848</fb>
    <v>6</v>
  </rv>
  <rv s="3">
    <fb>44209</fb>
    <v>5</v>
  </rv>
  <rv s="3">
    <fb>13.5318</fb>
    <v>6</v>
  </rv>
  <rv s="3">
    <fb>44210</fb>
    <v>5</v>
  </rv>
  <rv s="3">
    <fb>13.2003</fb>
    <v>6</v>
  </rv>
  <rv s="3">
    <fb>44211</fb>
    <v>5</v>
  </rv>
  <rv s="3">
    <fb>12.859500000000001</fb>
    <v>6</v>
  </rv>
  <rv s="3">
    <fb>44215</fb>
    <v>5</v>
  </rv>
  <rv s="3">
    <fb>13.0253</fb>
    <v>6</v>
  </rv>
  <rv s="3">
    <fb>44216</fb>
    <v>5</v>
  </rv>
  <rv s="3">
    <fb>13.3658</fb>
    <v>6</v>
  </rv>
  <rv s="3">
    <fb>44217</fb>
    <v>5</v>
  </rv>
  <rv s="3">
    <fb>13.8675</fb>
    <v>6</v>
  </rv>
  <rv s="3">
    <fb>44218</fb>
    <v>5</v>
  </rv>
  <rv s="3">
    <fb>13.7125</fb>
    <v>6</v>
  </rv>
  <rv s="3">
    <fb>44221</fb>
    <v>5</v>
  </rv>
  <rv s="3">
    <fb>13.6533</fb>
    <v>6</v>
  </rv>
  <rv s="3">
    <fb>44222</fb>
    <v>5</v>
  </rv>
  <rv s="3">
    <fb>13.4353</fb>
    <v>6</v>
  </rv>
  <rv s="3">
    <fb>44223</fb>
    <v>5</v>
  </rv>
  <rv s="3">
    <fb>12.9178</fb>
    <v>6</v>
  </rv>
  <rv s="3">
    <fb>44224</fb>
    <v>5</v>
  </rv>
  <rv s="3">
    <fb>13.051</fb>
    <v>6</v>
  </rv>
  <rv s="3">
    <fb>44225</fb>
    <v>5</v>
  </rv>
  <rv s="3">
    <fb>12.989800000000001</fb>
    <v>6</v>
  </rv>
  <rv s="3">
    <fb>44228</fb>
    <v>5</v>
  </rv>
  <rv s="3">
    <fb>13.237</fb>
    <v>6</v>
  </rv>
  <rv s="3">
    <fb>44229</fb>
    <v>5</v>
  </rv>
  <rv s="3">
    <fb>13.556800000000001</fb>
    <v>6</v>
  </rv>
  <rv s="3">
    <fb>44230</fb>
    <v>5</v>
  </rv>
  <rv s="3">
    <fb>44231</fb>
    <v>5</v>
  </rv>
  <rv s="3">
    <fb>13.664300000000001</fb>
    <v>6</v>
  </rv>
  <rv s="3">
    <fb>44232</fb>
    <v>5</v>
  </rv>
  <rv s="3">
    <fb>13.590999999999999</fb>
    <v>6</v>
  </rv>
  <rv s="3">
    <fb>44235</fb>
    <v>5</v>
  </rv>
  <rv s="3">
    <fb>14.438800000000001</fb>
    <v>6</v>
  </rv>
  <rv s="3">
    <fb>44236</fb>
    <v>5</v>
  </rv>
  <rv s="3">
    <fb>14.263299999999999</fb>
    <v>6</v>
  </rv>
  <rv s="3">
    <fb>44237</fb>
    <v>5</v>
  </rv>
  <rv s="3">
    <fb>14.7643</fb>
    <v>6</v>
  </rv>
  <rv s="3">
    <fb>44238</fb>
    <v>5</v>
  </rv>
  <rv s="3">
    <fb>15.2508</fb>
    <v>6</v>
  </rv>
  <rv s="3">
    <fb>44239</fb>
    <v>5</v>
  </rv>
  <rv s="3">
    <fb>14.9613</fb>
    <v>6</v>
  </rv>
  <rv s="3">
    <fb>44243</fb>
    <v>5</v>
  </rv>
  <rv s="3">
    <fb>15.330299999999999</fb>
    <v>6</v>
  </rv>
  <rv s="3">
    <fb>44244</fb>
    <v>5</v>
  </rv>
  <rv s="3">
    <fb>14.906000000000001</fb>
    <v>6</v>
  </rv>
  <rv s="3">
    <fb>44245</fb>
    <v>5</v>
  </rv>
  <rv s="3">
    <fb>14.829000000000001</fb>
    <v>6</v>
  </rv>
  <rv s="3">
    <fb>44246</fb>
    <v>5</v>
  </rv>
  <rv s="3">
    <fb>14.926500000000001</fb>
    <v>6</v>
  </rv>
  <rv s="3">
    <fb>44249</fb>
    <v>5</v>
  </rv>
  <rv s="3">
    <fb>14.3558</fb>
    <v>6</v>
  </rv>
  <rv s="3">
    <fb>44250</fb>
    <v>5</v>
  </rv>
  <rv s="3">
    <fb>14.141999999999999</fb>
    <v>6</v>
  </rv>
  <rv s="3">
    <fb>44251</fb>
    <v>5</v>
  </rv>
  <rv s="3">
    <fb>14.499000000000001</fb>
    <v>6</v>
  </rv>
  <rv s="3">
    <fb>44252</fb>
    <v>5</v>
  </rv>
  <rv s="3">
    <fb>13.307499999999999</fb>
    <v>6</v>
  </rv>
  <rv s="3">
    <fb>44253</fb>
    <v>5</v>
  </rv>
  <rv s="3">
    <fb>13.714499999999999</fb>
    <v>6</v>
  </rv>
  <rv s="3">
    <fb>44256</fb>
    <v>5</v>
  </rv>
  <rv s="3">
    <fb>13.841799999999999</fb>
    <v>6</v>
  </rv>
  <rv s="3">
    <fb>44257</fb>
    <v>5</v>
  </rv>
  <rv s="3">
    <fb>13.4063</fb>
    <v>6</v>
  </rv>
  <rv s="3">
    <fb>44258</fb>
    <v>5</v>
  </rv>
  <rv s="3">
    <fb>12.8048</fb>
    <v>6</v>
  </rv>
  <rv s="3">
    <fb>44259</fb>
    <v>5</v>
  </rv>
  <rv s="3">
    <fb>12.3703</fb>
    <v>6</v>
  </rv>
  <rv s="3">
    <fb>44260</fb>
    <v>5</v>
  </rv>
  <rv s="3">
    <fb>12.461499999999999</fb>
    <v>6</v>
  </rv>
  <rv s="3">
    <fb>44263</fb>
    <v>5</v>
  </rv>
  <rv s="3">
    <fb>11.593299999999999</fb>
    <v>6</v>
  </rv>
  <rv s="3">
    <fb>44264</fb>
    <v>5</v>
  </rv>
  <rv s="3">
    <fb>12.520300000000001</fb>
    <v>6</v>
  </rv>
  <rv s="3">
    <fb>44265</fb>
    <v>5</v>
  </rv>
  <rv s="3">
    <fb>12.468299999999999</fb>
    <v>6</v>
  </rv>
  <rv s="3">
    <fb>44266</fb>
    <v>5</v>
  </rv>
  <rv s="3">
    <fb>12.993499999999999</fb>
    <v>6</v>
  </rv>
  <rv s="3">
    <fb>44267</fb>
    <v>5</v>
  </rv>
  <rv s="3">
    <fb>12.856</fb>
    <v>6</v>
  </rv>
  <rv s="3">
    <fb>44270</fb>
    <v>5</v>
  </rv>
  <rv s="3">
    <fb>13.1913</fb>
    <v>6</v>
  </rv>
  <rv s="3">
    <fb>44271</fb>
    <v>5</v>
  </rv>
  <rv s="3">
    <fb>13.2913</fb>
    <v>6</v>
  </rv>
  <rv s="3">
    <fb>44272</fb>
    <v>5</v>
  </rv>
  <rv s="3">
    <fb>44273</fb>
    <v>5</v>
  </rv>
  <rv s="3">
    <fb>12.7225</fb>
    <v>6</v>
  </rv>
  <rv s="3">
    <fb>44274</fb>
    <v>5</v>
  </rv>
  <rv s="3">
    <fb>12.845800000000001</fb>
    <v>6</v>
  </rv>
  <rv s="3">
    <fb>44277</fb>
    <v>5</v>
  </rv>
  <rv s="3">
    <fb>13.186299999999999</fb>
    <v>6</v>
  </rv>
  <rv s="3">
    <fb>44278</fb>
    <v>5</v>
  </rv>
  <rv s="3">
    <fb>13.0708</fb>
    <v>6</v>
  </rv>
  <rv s="3">
    <fb>44279</fb>
    <v>5</v>
  </rv>
  <rv s="3">
    <fb>12.643000000000001</fb>
    <v>6</v>
  </rv>
  <rv s="3">
    <fb>44280</fb>
    <v>5</v>
  </rv>
  <rv s="3">
    <fb>12.535299999999999</fb>
    <v>6</v>
  </rv>
  <rv s="3">
    <fb>44281</fb>
    <v>5</v>
  </rv>
  <rv s="3">
    <fb>12.8393</fb>
    <v>6</v>
  </rv>
  <rv s="3">
    <fb>44284</fb>
    <v>5</v>
  </rv>
  <rv s="3">
    <fb>12.9483</fb>
    <v>6</v>
  </rv>
  <rv s="3">
    <fb>44285</fb>
    <v>5</v>
  </rv>
  <rv s="3">
    <fb>12.8718</fb>
    <v>6</v>
  </rv>
  <rv s="3">
    <fb>44286</fb>
    <v>5</v>
  </rv>
  <rv s="3">
    <fb>13.3483</fb>
    <v>6</v>
  </rv>
  <rv s="3">
    <fb>44287</fb>
    <v>5</v>
  </rv>
  <rv s="3">
    <fb>13.8118</fb>
    <v>6</v>
  </rv>
  <rv s="3">
    <fb>44291</fb>
    <v>5</v>
  </rv>
  <rv s="3">
    <fb>13.987500000000001</fb>
    <v>6</v>
  </rv>
  <rv s="3">
    <fb>44292</fb>
    <v>5</v>
  </rv>
  <rv s="3">
    <fb>13.861499999999999</fb>
    <v>6</v>
  </rv>
  <rv s="3">
    <fb>44293</fb>
    <v>5</v>
  </rv>
  <rv s="3">
    <fb>14.1435</fb>
    <v>6</v>
  </rv>
  <rv s="3">
    <fb>44294</fb>
    <v>5</v>
  </rv>
  <rv s="3">
    <fb>14.317</fb>
    <v>6</v>
  </rv>
  <rv s="3">
    <fb>44295</fb>
    <v>5</v>
  </rv>
  <rv s="3">
    <fb>14.4</fb>
    <v>6</v>
  </rv>
  <rv s="3">
    <fb>44298</fb>
    <v>5</v>
  </rv>
  <rv s="3">
    <fb>15.209</fb>
    <v>6</v>
  </rv>
  <rv s="3">
    <fb>44299</fb>
    <v>5</v>
  </rv>
  <rv s="3">
    <fb>15.679500000000001</fb>
    <v>6</v>
  </rv>
  <rv s="3">
    <fb>44300</fb>
    <v>5</v>
  </rv>
  <rv s="3">
    <fb>15.276999999999999</fb>
    <v>6</v>
  </rv>
  <rv s="3">
    <fb>44301</fb>
    <v>5</v>
  </rv>
  <rv s="3">
    <fb>16.1373</fb>
    <v>6</v>
  </rv>
  <rv s="3">
    <fb>44302</fb>
    <v>5</v>
  </rv>
  <rv s="3">
    <fb>15.9125</fb>
    <v>6</v>
  </rv>
  <rv s="3">
    <fb>44305</fb>
    <v>5</v>
  </rv>
  <rv s="3">
    <fb>15.361800000000001</fb>
    <v>6</v>
  </rv>
  <rv s="3">
    <fb>44306</fb>
    <v>5</v>
  </rv>
  <rv s="3">
    <fb>15.1713</fb>
    <v>6</v>
  </rv>
  <rv s="3">
    <fb>44307</fb>
    <v>5</v>
  </rv>
  <rv s="3">
    <fb>15.3605</fb>
    <v>6</v>
  </rv>
  <rv s="3">
    <fb>44308</fb>
    <v>5</v>
  </rv>
  <rv s="3">
    <fb>14.850300000000001</fb>
    <v>6</v>
  </rv>
  <rv s="3">
    <fb>44309</fb>
    <v>5</v>
  </rv>
  <rv s="3">
    <fb>15.2653</fb>
    <v>6</v>
  </rv>
  <rv s="3">
    <fb>44312</fb>
    <v>5</v>
  </rv>
  <rv s="3">
    <fb>15.478</fb>
    <v>6</v>
  </rv>
  <rv s="3">
    <fb>44313</fb>
    <v>5</v>
  </rv>
  <rv s="3">
    <fb>15.3818</fb>
    <v>6</v>
  </rv>
  <rv s="3">
    <fb>44314</fb>
    <v>5</v>
  </rv>
  <rv s="3">
    <fb>15.2768</fb>
    <v>6</v>
  </rv>
  <rv s="3">
    <fb>44315</fb>
    <v>5</v>
  </rv>
  <rv s="3">
    <fb>15.3248</fb>
    <v>6</v>
  </rv>
  <rv s="3">
    <fb>44316</fb>
    <v>5</v>
  </rv>
  <rv s="3">
    <fb>15.009499999999999</fb>
    <v>6</v>
  </rv>
  <rv s="3">
    <fb>44319</fb>
    <v>5</v>
  </rv>
  <rv s="3">
    <fb>14.8368</fb>
    <v>6</v>
  </rv>
  <rv s="3">
    <fb>44320</fb>
    <v>5</v>
  </rv>
  <rv s="3">
    <fb>14.3513</fb>
    <v>6</v>
  </rv>
  <rv s="3">
    <fb>44321</fb>
    <v>5</v>
  </rv>
  <rv s="3">
    <fb>14.458500000000001</fb>
    <v>6</v>
  </rv>
  <rv s="3">
    <fb>44322</fb>
    <v>5</v>
  </rv>
  <rv s="3">
    <fb>14.523</fb>
    <v>6</v>
  </rv>
  <rv s="3">
    <fb>44323</fb>
    <v>5</v>
  </rv>
  <rv s="3">
    <fb>14.8123</fb>
    <v>6</v>
  </rv>
  <rv s="3">
    <fb>44326</fb>
    <v>5</v>
  </rv>
  <rv s="3">
    <fb>14.2658</fb>
    <v>6</v>
  </rv>
  <rv s="3">
    <fb>44327</fb>
    <v>5</v>
  </rv>
  <rv s="3">
    <fb>14.3063</fb>
    <v>6</v>
  </rv>
  <rv s="3">
    <fb>44328</fb>
    <v>5</v>
  </rv>
  <rv s="3">
    <fb>13.7585</fb>
    <v>6</v>
  </rv>
  <rv s="3">
    <fb>44329</fb>
    <v>5</v>
  </rv>
  <rv s="3">
    <fb>13.6653</fb>
    <v>6</v>
  </rv>
  <rv s="3">
    <fb>44330</fb>
    <v>5</v>
  </rv>
  <rv s="3">
    <fb>14.243</fb>
    <v>6</v>
  </rv>
  <rv s="3">
    <fb>44333</fb>
    <v>5</v>
  </rv>
  <rv s="3">
    <fb>14.1655</fb>
    <v>6</v>
  </rv>
  <rv s="3">
    <fb>44334</fb>
    <v>5</v>
  </rv>
  <rv s="3">
    <fb>14.0158</fb>
    <v>6</v>
  </rv>
  <rv s="3">
    <fb>44335</fb>
    <v>5</v>
  </rv>
  <rv s="3">
    <fb>14.065799999999999</fb>
    <v>6</v>
  </rv>
  <rv s="3">
    <fb>44336</fb>
    <v>5</v>
  </rv>
  <rv s="3">
    <fb>14.612500000000001</fb>
    <v>6</v>
  </rv>
  <rv s="3">
    <fb>44337</fb>
    <v>5</v>
  </rv>
  <rv s="3">
    <fb>14.9918</fb>
    <v>6</v>
  </rv>
  <rv s="3">
    <fb>44340</fb>
    <v>5</v>
  </rv>
  <rv s="3">
    <fb>15.612</fb>
    <v>6</v>
  </rv>
  <rv s="3">
    <fb>44341</fb>
    <v>5</v>
  </rv>
  <rv s="3">
    <fb>15.6478</fb>
    <v>6</v>
  </rv>
  <rv s="3">
    <fb>44342</fb>
    <v>5</v>
  </rv>
  <rv s="3">
    <fb>15.7</fb>
    <v>6</v>
  </rv>
  <rv s="3">
    <fb>44343</fb>
    <v>5</v>
  </rv>
  <rv s="3">
    <fb>15.488</fb>
    <v>6</v>
  </rv>
  <rv s="3">
    <fb>44344</fb>
    <v>5</v>
  </rv>
  <rv s="3">
    <fb>16.244499999999999</fb>
    <v>6</v>
  </rv>
  <rv s="3">
    <fb>44348</fb>
    <v>5</v>
  </rv>
  <rv s="3">
    <fb>16.264500000000002</fb>
    <v>6</v>
  </rv>
  <rv s="3">
    <fb>44349</fb>
    <v>5</v>
  </rv>
  <rv s="3">
    <fb>16.778300000000002</fb>
    <v>6</v>
  </rv>
  <rv s="3">
    <fb>44350</fb>
    <v>5</v>
  </rv>
  <rv s="3">
    <fb>16.969799999999999</fb>
    <v>6</v>
  </rv>
  <rv s="3">
    <fb>44351</fb>
    <v>5</v>
  </rv>
  <rv s="3">
    <fb>17.578299999999999</fb>
    <v>6</v>
  </rv>
  <rv s="3">
    <fb>44354</fb>
    <v>5</v>
  </rv>
  <rv s="3">
    <fb>17.619</fb>
    <v>6</v>
  </rv>
  <rv s="3">
    <fb>44355</fb>
    <v>5</v>
  </rv>
  <rv s="3">
    <fb>17.457000000000001</fb>
    <v>6</v>
  </rv>
  <rv s="3">
    <fb>44356</fb>
    <v>5</v>
  </rv>
  <rv s="3">
    <fb>17.3583</fb>
    <v>6</v>
  </rv>
  <rv s="3">
    <fb>44357</fb>
    <v>5</v>
  </rv>
  <rv s="3">
    <fb>17.425000000000001</fb>
    <v>6</v>
  </rv>
  <rv s="3">
    <fb>44358</fb>
    <v>5</v>
  </rv>
  <rv s="3">
    <fb>17.825299999999999</fb>
    <v>6</v>
  </rv>
  <rv s="3">
    <fb>44361</fb>
    <v>5</v>
  </rv>
  <rv s="3">
    <fb>18.018799999999999</fb>
    <v>6</v>
  </rv>
  <rv s="3">
    <fb>44362</fb>
    <v>5</v>
  </rv>
  <rv s="3">
    <fb>17.788499999999999</fb>
    <v>6</v>
  </rv>
  <rv s="3">
    <fb>44363</fb>
    <v>5</v>
  </rv>
  <rv s="3">
    <fb>17.810300000000002</fb>
    <v>6</v>
  </rv>
  <rv s="3">
    <fb>44364</fb>
    <v>5</v>
  </rv>
  <rv s="3">
    <fb>18.657299999999999</fb>
    <v>6</v>
  </rv>
  <rv s="3">
    <fb>44365</fb>
    <v>5</v>
  </rv>
  <rv s="3">
    <fb>18.6387</fb>
    <v>6</v>
  </rv>
  <rv s="3">
    <fb>44368</fb>
    <v>5</v>
  </rv>
  <rv s="3">
    <fb>18.427299999999999</fb>
    <v>6</v>
  </rv>
  <rv s="3">
    <fb>44369</fb>
    <v>5</v>
  </rv>
  <rv s="3">
    <fb>18.886800000000001</fb>
    <v>6</v>
  </rv>
  <rv s="3">
    <fb>44370</fb>
    <v>5</v>
  </rv>
  <rv s="3">
    <fb>19.057300000000001</fb>
    <v>6</v>
  </rv>
  <rv s="3">
    <fb>44371</fb>
    <v>5</v>
  </rv>
  <rv s="3">
    <fb>19.205500000000001</fb>
    <v>6</v>
  </rv>
  <rv s="3">
    <fb>44372</fb>
    <v>5</v>
  </rv>
  <rv s="3">
    <fb>19.030999999999999</fb>
    <v>6</v>
  </rv>
  <rv s="3">
    <fb>44375</fb>
    <v>5</v>
  </rv>
  <rv s="3">
    <fb>19.984999999999999</fb>
    <v>6</v>
  </rv>
  <rv s="3">
    <fb>44376</fb>
    <v>5</v>
  </rv>
  <rv s="3">
    <fb>20.026800000000001</fb>
    <v>6</v>
  </rv>
  <rv s="3">
    <fb>44377</fb>
    <v>5</v>
  </rv>
  <rv s="3">
    <fb>20.002500000000001</fb>
    <v>6</v>
  </rv>
  <rv s="3">
    <fb>44378</fb>
    <v>5</v>
  </rv>
  <rv s="3">
    <fb>20.212</fb>
    <v>6</v>
  </rv>
  <rv s="3">
    <fb>44379</fb>
    <v>5</v>
  </rv>
  <rv s="3">
    <fb>20.486999999999998</fb>
    <v>6</v>
  </rv>
  <rv s="3">
    <fb>44383</fb>
    <v>5</v>
  </rv>
  <rv s="3">
    <fb>20.698499999999999</fb>
    <v>6</v>
  </rv>
  <rv s="3">
    <fb>44384</fb>
    <v>5</v>
  </rv>
  <rv s="3">
    <fb>20.3718</fb>
    <v>6</v>
  </rv>
  <rv s="3">
    <fb>44385</fb>
    <v>5</v>
  </rv>
  <rv s="3">
    <fb>19.902799999999999</fb>
    <v>6</v>
  </rv>
  <rv s="3">
    <fb>44386</fb>
    <v>5</v>
  </rv>
  <rv s="3">
    <fb>20.0503</fb>
    <v>6</v>
  </rv>
  <rv s="3">
    <fb>44389</fb>
    <v>5</v>
  </rv>
  <rv s="3">
    <fb>20.512499999999999</fb>
    <v>6</v>
  </rv>
  <rv s="3">
    <fb>44390</fb>
    <v>5</v>
  </rv>
  <rv s="3">
    <fb>20.25</fb>
    <v>6</v>
  </rv>
  <rv s="3">
    <fb>44391</fb>
    <v>5</v>
  </rv>
  <rv s="3">
    <fb>19.8415</fb>
    <v>6</v>
  </rv>
  <rv s="3">
    <fb>44392</fb>
    <v>5</v>
  </rv>
  <rv s="3">
    <fb>18.9663</fb>
    <v>6</v>
  </rv>
  <rv s="3">
    <fb>44393</fb>
    <v>5</v>
  </rv>
  <rv s="3">
    <fb>18.161000000000001</fb>
    <v>6</v>
  </rv>
  <rv s="3">
    <fb>44396</fb>
    <v>5</v>
  </rv>
  <rv s="3">
    <fb>18.779800000000002</fb>
    <v>6</v>
  </rv>
  <rv s="3">
    <fb>44397</fb>
    <v>5</v>
  </rv>
  <rv s="3">
    <fb>18.611999999999998</fb>
    <v>6</v>
  </rv>
  <rv s="3">
    <fb>44398</fb>
    <v>5</v>
  </rv>
  <rv s="3">
    <fb>19.41</fb>
    <v>6</v>
  </rv>
  <rv s="3">
    <fb>44399</fb>
    <v>5</v>
  </rv>
  <rv s="3">
    <fb>19.594000000000001</fb>
    <v>6</v>
  </rv>
  <rv s="3">
    <fb>44400</fb>
    <v>5</v>
  </rv>
  <rv s="3">
    <fb>19.558</fb>
    <v>6</v>
  </rv>
  <rv s="3">
    <fb>44403</fb>
    <v>5</v>
  </rv>
  <rv s="3">
    <fb>19.294</fb>
    <v>6</v>
  </rv>
  <rv s="3">
    <fb>44404</fb>
    <v>5</v>
  </rv>
  <rv s="3">
    <fb>19.207999999999998</fb>
    <v>6</v>
  </rv>
  <rv s="3">
    <fb>44405</fb>
    <v>5</v>
  </rv>
  <rv s="3">
    <fb>19.503</fb>
    <v>6</v>
  </rv>
  <rv s="3">
    <fb>44406</fb>
    <v>5</v>
  </rv>
  <rv s="3">
    <fb>19.661999999999999</fb>
    <v>6</v>
  </rv>
  <rv s="3">
    <fb>44407</fb>
    <v>5</v>
  </rv>
  <rv s="3">
    <fb>19.498999999999999</fb>
    <v>6</v>
  </rv>
  <rv s="3">
    <fb>44410</fb>
    <v>5</v>
  </rv>
  <rv s="3">
    <fb>19.75</fb>
    <v>6</v>
  </rv>
  <rv s="3">
    <fb>44411</fb>
    <v>5</v>
  </rv>
  <rv s="3">
    <fb>19.815000000000001</fb>
    <v>6</v>
  </rv>
  <rv s="3">
    <fb>44412</fb>
    <v>5</v>
  </rv>
  <rv s="3">
    <fb>20.274000000000001</fb>
    <v>6</v>
  </rv>
  <rv s="3">
    <fb>44413</fb>
    <v>5</v>
  </rv>
  <rv s="3">
    <fb>20.637</fb>
    <v>6</v>
  </rv>
  <rv s="3">
    <fb>44414</fb>
    <v>5</v>
  </rv>
  <rv s="3">
    <fb>20.366</fb>
    <v>6</v>
  </rv>
  <rv s="3">
    <fb>44417</fb>
    <v>5</v>
  </rv>
  <rv s="3">
    <fb>20.295000000000002</fb>
    <v>6</v>
  </rv>
  <rv s="3">
    <fb>44418</fb>
    <v>5</v>
  </rv>
  <rv s="3">
    <fb>19.936</fb>
    <v>6</v>
  </rv>
  <rv s="3">
    <fb>44419</fb>
    <v>5</v>
  </rv>
  <rv s="3">
    <fb>19.699000000000002</fb>
    <v>6</v>
  </rv>
  <rv s="3">
    <fb>44420</fb>
    <v>5</v>
  </rv>
  <rv s="3">
    <fb>19.905000000000001</fb>
    <v>6</v>
  </rv>
  <rv s="3">
    <fb>44421</fb>
    <v>5</v>
  </rv>
  <rv s="3">
    <fb>20.187999999999999</fb>
    <v>6</v>
  </rv>
  <rv s="3">
    <fb>44424</fb>
    <v>5</v>
  </rv>
  <rv s="3">
    <fb>19.95</fb>
    <v>6</v>
  </rv>
  <rv s="3">
    <fb>44425</fb>
    <v>5</v>
  </rv>
  <rv s="3">
    <fb>19.457999999999998</fb>
    <v>6</v>
  </rv>
  <rv s="3">
    <fb>44426</fb>
    <v>5</v>
  </rv>
  <rv s="3">
    <fb>19.04</fb>
    <v>6</v>
  </rv>
  <rv s="3">
    <fb>44427</fb>
    <v>5</v>
  </rv>
  <rv s="3">
    <fb>19.797999999999998</fb>
    <v>6</v>
  </rv>
  <rv s="3">
    <fb>44428</fb>
    <v>5</v>
  </rv>
  <rv s="3">
    <fb>20.815999999999999</fb>
    <v>6</v>
  </rv>
  <rv s="3">
    <fb>44431</fb>
    <v>5</v>
  </rv>
  <rv s="3">
    <fb>21.957999999999998</fb>
    <v>6</v>
  </rv>
  <rv s="3">
    <fb>44432</fb>
    <v>5</v>
  </rv>
  <rv s="3">
    <fb>21.792999999999999</fb>
    <v>6</v>
  </rv>
  <rv s="3">
    <fb>44433</fb>
    <v>5</v>
  </rv>
  <rv s="3">
    <fb>22.213000000000001</fb>
    <v>6</v>
  </rv>
  <rv s="3">
    <fb>44434</fb>
    <v>5</v>
  </rv>
  <rv s="3">
    <fb>22.068000000000001</fb>
    <v>6</v>
  </rv>
  <rv s="3">
    <fb>44435</fb>
    <v>5</v>
  </rv>
  <rv s="3">
    <fb>22.635999999999999</fb>
    <v>6</v>
  </rv>
  <rv s="3">
    <fb>44438</fb>
    <v>5</v>
  </rv>
  <rv s="3">
    <fb>22.687999999999999</fb>
    <v>6</v>
  </rv>
  <rv s="3">
    <fb>44439</fb>
    <v>5</v>
  </rv>
  <rv s="3">
    <fb>22.385000000000002</fb>
    <v>6</v>
  </rv>
  <rv s="3">
    <fb>44440</fb>
    <v>5</v>
  </rv>
  <rv s="3">
    <fb>22.440999999999999</fb>
    <v>6</v>
  </rv>
  <rv s="3">
    <fb>44441</fb>
    <v>5</v>
  </rv>
  <rv s="3">
    <fb>22.396000000000001</fb>
    <v>6</v>
  </rv>
  <rv s="3">
    <fb>44442</fb>
    <v>5</v>
  </rv>
  <rv s="3">
    <fb>22.843</fb>
    <v>6</v>
  </rv>
  <rv s="3">
    <fb>44446</fb>
    <v>5</v>
  </rv>
  <rv s="3">
    <fb>22.661999999999999</fb>
    <v>6</v>
  </rv>
  <rv s="3">
    <fb>44447</fb>
    <v>5</v>
  </rv>
  <rv s="3">
    <fb>22.338999999999999</fb>
    <v>6</v>
  </rv>
  <rv s="3">
    <fb>44448</fb>
    <v>5</v>
  </rv>
  <rv s="3">
    <fb>22.177</fb>
    <v>6</v>
  </rv>
  <rv s="3">
    <fb>44449</fb>
    <v>5</v>
  </rv>
  <rv s="3">
    <fb>22.478000000000002</fb>
    <v>6</v>
  </rv>
  <rv s="3">
    <fb>44452</fb>
    <v>5</v>
  </rv>
  <rv s="3">
    <fb>22.152000000000001</fb>
    <v>6</v>
  </rv>
  <rv s="3">
    <fb>44453</fb>
    <v>5</v>
  </rv>
  <rv s="3">
    <fb>22.242000000000001</fb>
    <v>6</v>
  </rv>
  <rv s="3">
    <fb>44454</fb>
    <v>5</v>
  </rv>
  <rv s="3">
    <fb>22.341000000000001</fb>
    <v>6</v>
  </rv>
  <rv s="3">
    <fb>44455</fb>
    <v>5</v>
  </rv>
  <rv s="3">
    <fb>44456</fb>
    <v>5</v>
  </rv>
  <rv s="3">
    <fb>21.9</fb>
    <v>6</v>
  </rv>
  <rv s="3">
    <fb>44459</fb>
    <v>5</v>
  </rv>
  <rv s="3">
    <fb>21.113</fb>
    <v>6</v>
  </rv>
  <rv s="3">
    <fb>44460</fb>
    <v>5</v>
  </rv>
  <rv s="3">
    <fb>21.245999999999999</fb>
    <v>6</v>
  </rv>
  <rv s="3">
    <fb>44461</fb>
    <v>5</v>
  </rv>
  <rv s="3">
    <fb>21.940999999999999</fb>
    <v>6</v>
  </rv>
  <rv s="3">
    <fb>44462</fb>
    <v>5</v>
  </rv>
  <rv s="3">
    <fb>22.481999999999999</fb>
    <v>6</v>
  </rv>
  <rv s="3">
    <fb>44463</fb>
    <v>5</v>
  </rv>
  <rv s="3">
    <fb>22.081</fb>
    <v>6</v>
  </rv>
  <rv s="3">
    <fb>44466</fb>
    <v>5</v>
  </rv>
  <rv s="3">
    <fb>21.66</fb>
    <v>6</v>
  </rv>
  <rv s="3">
    <fb>44467</fb>
    <v>5</v>
  </rv>
  <rv s="3">
    <fb>20.699000000000002</fb>
    <v>6</v>
  </rv>
  <rv s="3">
    <fb>44468</fb>
    <v>5</v>
  </rv>
  <rv s="3">
    <fb>20.516999999999999</fb>
    <v>6</v>
  </rv>
  <rv s="3">
    <fb>44469</fb>
    <v>5</v>
  </rv>
  <rv s="3">
    <fb>20.716000000000001</fb>
    <v>6</v>
  </rv>
  <rv s="3">
    <fb>44470</fb>
    <v>5</v>
  </rv>
  <rv s="3">
    <fb>20.742000000000001</fb>
    <v>6</v>
  </rv>
  <rv s="3">
    <fb>44473</fb>
    <v>5</v>
  </rv>
  <rv s="3">
    <fb>19.731999999999999</fb>
    <v>6</v>
  </rv>
  <rv s="3">
    <fb>44474</fb>
    <v>5</v>
  </rv>
  <rv s="3">
    <fb>20.451000000000001</fb>
    <v>6</v>
  </rv>
  <rv s="3">
    <fb>44475</fb>
    <v>5</v>
  </rv>
  <rv s="3">
    <fb>20.7</fb>
    <v>6</v>
  </rv>
  <rv s="3">
    <fb>44476</fb>
    <v>5</v>
  </rv>
  <rv s="3">
    <fb>21.074999999999999</fb>
    <v>6</v>
  </rv>
  <rv s="3">
    <fb>44477</fb>
    <v>5</v>
  </rv>
  <rv s="3">
    <fb>20.831</fb>
    <v>6</v>
  </rv>
  <rv s="3">
    <fb>44480</fb>
    <v>5</v>
  </rv>
  <rv s="3">
    <fb>20.695</fb>
    <v>6</v>
  </rv>
  <rv s="3">
    <fb>44481</fb>
    <v>5</v>
  </rv>
  <rv s="3">
    <fb>20.670999999999999</fb>
    <v>6</v>
  </rv>
  <rv s="3">
    <fb>44482</fb>
    <v>5</v>
  </rv>
  <rv s="3">
    <fb>20.939</fb>
    <v>6</v>
  </rv>
  <rv s="3">
    <fb>44483</fb>
    <v>5</v>
  </rv>
  <rv s="3">
    <fb>21.745999999999999</fb>
    <v>6</v>
  </rv>
  <rv s="3">
    <fb>44484</fb>
    <v>5</v>
  </rv>
  <rv s="3">
    <fb>21.861999999999998</fb>
    <v>6</v>
  </rv>
  <rv s="3">
    <fb>44487</fb>
    <v>5</v>
  </rv>
  <rv s="3">
    <fb>22.222000000000001</fb>
    <v>6</v>
  </rv>
  <rv s="3">
    <fb>44488</fb>
    <v>5</v>
  </rv>
  <rv s="3">
    <fb>22.29</fb>
    <v>6</v>
  </rv>
  <rv s="3">
    <fb>44489</fb>
    <v>5</v>
  </rv>
  <rv s="3">
    <fb>22.103000000000002</fb>
    <v>6</v>
  </rv>
  <rv s="3">
    <fb>44490</fb>
    <v>5</v>
  </rv>
  <rv s="3">
    <fb>22.692</fb>
    <v>6</v>
  </rv>
  <rv s="3">
    <fb>44491</fb>
    <v>5</v>
  </rv>
  <rv s="3">
    <fb>22.725999999999999</fb>
    <v>6</v>
  </rv>
  <rv s="3">
    <fb>44494</fb>
    <v>5</v>
  </rv>
  <rv s="3">
    <fb>23.166</fb>
    <v>6</v>
  </rv>
  <rv s="3">
    <fb>44495</fb>
    <v>5</v>
  </rv>
  <rv s="3">
    <fb>24.716999999999999</fb>
    <v>6</v>
  </rv>
  <rv s="3">
    <fb>44496</fb>
    <v>5</v>
  </rv>
  <rv s="3">
    <fb>24.451000000000001</fb>
    <v>6</v>
  </rv>
  <rv s="3">
    <fb>44497</fb>
    <v>5</v>
  </rv>
  <rv s="3">
    <fb>24.940999999999999</fb>
    <v>6</v>
  </rv>
  <rv s="3">
    <fb>44498</fb>
    <v>5</v>
  </rv>
  <rv s="3">
    <fb>25.567</fb>
    <v>6</v>
  </rv>
  <rv s="3">
    <fb>44501</fb>
    <v>5</v>
  </rv>
  <rv s="3">
    <fb>25.827000000000002</fb>
    <v>6</v>
  </rv>
  <rv s="3">
    <fb>44502</fb>
    <v>5</v>
  </rv>
  <rv s="3">
    <fb>26.401</fb>
    <v>6</v>
  </rv>
  <rv s="3">
    <fb>44503</fb>
    <v>5</v>
  </rv>
  <rv s="3">
    <fb>26.597999999999999</fb>
    <v>6</v>
  </rv>
  <rv s="3">
    <fb>44504</fb>
    <v>5</v>
  </rv>
  <rv s="3">
    <fb>29.800999999999998</fb>
    <v>6</v>
  </rv>
  <rv s="3">
    <fb>44505</fb>
    <v>5</v>
  </rv>
  <rv s="3">
    <fb>29.751999999999999</fb>
    <v>6</v>
  </rv>
  <rv s="3">
    <fb>44508</fb>
    <v>5</v>
  </rv>
  <rv s="3">
    <fb>30.803999999999998</fb>
    <v>6</v>
  </rv>
  <rv s="3">
    <fb>44509</fb>
    <v>5</v>
  </rv>
  <rv s="3">
    <fb>30.657</fb>
    <v>6</v>
  </rv>
  <rv s="3">
    <fb>44510</fb>
    <v>5</v>
  </rv>
  <rv s="3">
    <fb>29.459</fb>
    <v>6</v>
  </rv>
  <rv s="3">
    <fb>44511</fb>
    <v>5</v>
  </rv>
  <rv s="3">
    <fb>30.39</fb>
    <v>6</v>
  </rv>
  <rv s="3">
    <fb>44512</fb>
    <v>5</v>
  </rv>
  <rv s="3">
    <fb>44515</fb>
    <v>5</v>
  </rv>
  <rv s="3">
    <fb>30.024999999999999</fb>
    <v>6</v>
  </rv>
  <rv s="3">
    <fb>44516</fb>
    <v>5</v>
  </rv>
  <rv s="3">
    <fb>30.202999999999999</fb>
    <v>6</v>
  </rv>
  <rv s="3">
    <fb>44517</fb>
    <v>5</v>
  </rv>
  <rv s="3">
    <fb>29.260999999999999</fb>
    <v>6</v>
  </rv>
  <rv s="3">
    <fb>44518</fb>
    <v>5</v>
  </rv>
  <rv s="3">
    <fb>31.675000000000001</fb>
    <v>6</v>
  </rv>
  <rv s="3">
    <fb>44519</fb>
    <v>5</v>
  </rv>
  <rv s="3">
    <fb>32.984999999999999</fb>
    <v>6</v>
  </rv>
  <rv s="3">
    <fb>44522</fb>
    <v>5</v>
  </rv>
  <rv s="3">
    <fb>31.956</fb>
    <v>6</v>
  </rv>
  <rv s="3">
    <fb>44523</fb>
    <v>5</v>
  </rv>
  <rv s="3">
    <fb>31.745999999999999</fb>
    <v>6</v>
  </rv>
  <rv s="3">
    <fb>44524</fb>
    <v>5</v>
  </rv>
  <rv s="3">
    <fb>32.673999999999999</fb>
    <v>6</v>
  </rv>
  <rv s="3">
    <fb>44526</fb>
    <v>5</v>
  </rv>
  <rv s="3">
    <fb>31.503</fb>
    <v>6</v>
  </rv>
  <rv s="3">
    <fb>44529</fb>
    <v>5</v>
  </rv>
  <rv s="3">
    <fb>33.375999999999998</fb>
    <v>6</v>
  </rv>
  <rv s="3">
    <fb>44530</fb>
    <v>5</v>
  </rv>
  <rv s="3">
    <fb>32.676000000000002</fb>
    <v>6</v>
  </rv>
  <rv s="3">
    <fb>44531</fb>
    <v>5</v>
  </rv>
  <rv s="3">
    <fb>31.434999999999999</fb>
    <v>6</v>
  </rv>
  <rv s="3">
    <fb>44532</fb>
    <v>5</v>
  </rv>
  <rv s="3">
    <fb>32.125999999999998</fb>
    <v>6</v>
  </rv>
  <rv s="3">
    <fb>44533</fb>
    <v>5</v>
  </rv>
  <rv s="3">
    <fb>30.693000000000001</fb>
    <v>6</v>
  </rv>
  <rv s="3">
    <fb>44536</fb>
    <v>5</v>
  </rv>
  <rv s="3">
    <fb>30.036999999999999</fb>
    <v>6</v>
  </rv>
  <rv s="3">
    <fb>44537</fb>
    <v>5</v>
  </rv>
  <rv s="3">
    <fb>32.427</fb>
    <v>6</v>
  </rv>
  <rv s="3">
    <fb>44538</fb>
    <v>5</v>
  </rv>
  <rv s="3">
    <fb>31.826000000000001</fb>
    <v>6</v>
  </rv>
  <rv s="3">
    <fb>44539</fb>
    <v>5</v>
  </rv>
  <rv s="3">
    <fb>30.49</fb>
    <v>6</v>
  </rv>
  <rv s="3">
    <fb>44540</fb>
    <v>5</v>
  </rv>
  <rv s="3">
    <fb>30.198</fb>
    <v>6</v>
  </rv>
  <rv s="3">
    <fb>44543</fb>
    <v>5</v>
  </rv>
  <rv s="3">
    <fb>28.161000000000001</fb>
    <v>6</v>
  </rv>
  <rv s="3">
    <fb>44544</fb>
    <v>5</v>
  </rv>
  <rv s="3">
    <fb>28.337</fb>
    <v>6</v>
  </rv>
  <rv s="3">
    <fb>44545</fb>
    <v>5</v>
  </rv>
  <rv s="3">
    <fb>30.459</fb>
    <v>6</v>
  </rv>
  <rv s="3">
    <fb>44546</fb>
    <v>5</v>
  </rv>
  <rv s="3">
    <fb>28.387</fb>
    <v>6</v>
  </rv>
  <rv s="3">
    <fb>44547</fb>
    <v>5</v>
  </rv>
  <rv s="3">
    <fb>27.800999999999998</fb>
    <v>6</v>
  </rv>
  <rv s="3">
    <fb>44550</fb>
    <v>5</v>
  </rv>
  <rv s="3">
    <fb>27.719000000000001</fb>
    <v>6</v>
  </rv>
  <rv s="3">
    <fb>44551</fb>
    <v>5</v>
  </rv>
  <rv s="3">
    <fb>29.074999999999999</fb>
    <v>6</v>
  </rv>
  <rv s="3">
    <fb>44552</fb>
    <v>5</v>
  </rv>
  <rv s="3">
    <fb>29.4</fb>
    <v>6</v>
  </rv>
  <rv s="3">
    <fb>44553</fb>
    <v>5</v>
  </rv>
  <rv s="3">
    <fb>29.64</fb>
    <v>6</v>
  </rv>
  <rv s="3">
    <fb>44557</fb>
    <v>5</v>
  </rv>
  <rv s="3">
    <fb>30.945</fb>
    <v>6</v>
  </rv>
  <rv s="3">
    <fb>44558</fb>
    <v>5</v>
  </rv>
  <rv s="3">
    <fb>30.321999999999999</fb>
    <v>6</v>
  </rv>
  <rv s="3">
    <fb>44559</fb>
    <v>5</v>
  </rv>
  <rv s="3">
    <fb>30.001000000000001</fb>
    <v>6</v>
  </rv>
  <rv s="3">
    <fb>44560</fb>
    <v>5</v>
  </rv>
  <rv s="3">
    <fb>29.585999999999999</fb>
    <v>6</v>
  </rv>
  <rv s="3">
    <fb>44561</fb>
    <v>5</v>
  </rv>
  <rv s="3">
    <fb>29.411000000000001</fb>
    <v>6</v>
  </rv>
  <rv s="3">
    <fb>44564</fb>
    <v>5</v>
  </rv>
  <rv s="3">
    <fb>30.120999999999999</fb>
    <v>6</v>
  </rv>
  <rv s="3">
    <fb>44565</fb>
    <v>5</v>
  </rv>
  <rv s="3">
    <fb>29.29</fb>
    <v>6</v>
  </rv>
  <rv s="3">
    <fb>44566</fb>
    <v>5</v>
  </rv>
  <rv s="3">
    <fb>27.603999999999999</fb>
    <v>6</v>
  </rv>
  <rv s="3">
    <fb>44567</fb>
    <v>5</v>
  </rv>
  <rv s="3">
    <fb>28.178000000000001</fb>
    <v>6</v>
  </rv>
  <rv s="3">
    <fb>44568</fb>
    <v>5</v>
  </rv>
  <rv s="3">
    <fb>27.247</fb>
    <v>6</v>
  </rv>
  <rv s="3">
    <fb>44571</fb>
    <v>5</v>
  </rv>
  <rv s="3">
    <fb>27.4</fb>
    <v>6</v>
  </rv>
  <rv s="3">
    <fb>44572</fb>
    <v>5</v>
  </rv>
  <rv s="3">
    <fb>27.817</fb>
    <v>6</v>
  </rv>
  <rv s="3">
    <fb>44573</fb>
    <v>5</v>
  </rv>
  <rv s="3">
    <fb>27.998999999999999</fb>
    <v>6</v>
  </rv>
  <rv s="3">
    <fb>44574</fb>
    <v>5</v>
  </rv>
  <rv s="3">
    <fb>26.574999999999999</fb>
    <v>6</v>
  </rv>
  <rv s="3">
    <fb>44575</fb>
    <v>5</v>
  </rv>
  <rv s="3">
    <fb>26.942</fb>
    <v>6</v>
  </rv>
  <rv s="3">
    <fb>44579</fb>
    <v>5</v>
  </rv>
  <rv s="3">
    <fb>25.902999999999999</fb>
    <v>6</v>
  </rv>
  <rv s="3">
    <fb>44580</fb>
    <v>5</v>
  </rv>
  <rv s="3">
    <fb>25.067</fb>
    <v>6</v>
  </rv>
  <rv s="3">
    <fb>44581</fb>
    <v>5</v>
  </rv>
  <rv s="3">
    <fb>24.15</fb>
    <v>6</v>
  </rv>
  <rv s="3">
    <fb>44582</fb>
    <v>5</v>
  </rv>
  <rv s="3">
    <fb>23.373999999999999</fb>
    <v>6</v>
  </rv>
  <rv s="3">
    <fb>44585</fb>
    <v>5</v>
  </rv>
  <rv s="3">
    <fb>23.372</fb>
    <v>6</v>
  </rv>
  <rv s="3">
    <fb>44586</fb>
    <v>5</v>
  </rv>
  <rv s="3">
    <fb>22.324000000000002</fb>
    <v>6</v>
  </rv>
  <rv s="3">
    <fb>44587</fb>
    <v>5</v>
  </rv>
  <rv s="3">
    <fb>22.771999999999998</fb>
    <v>6</v>
  </rv>
  <rv s="3">
    <fb>44588</fb>
    <v>5</v>
  </rv>
  <rv s="3">
    <fb>21.943999999999999</fb>
    <v>6</v>
  </rv>
  <rv s="3">
    <fb>44589</fb>
    <v>5</v>
  </rv>
  <rv s="3">
    <fb>22.84</fb>
    <v>6</v>
  </rv>
  <rv s="3">
    <fb>44592</fb>
    <v>5</v>
  </rv>
  <rv s="3">
    <fb>24.486000000000001</fb>
    <v>6</v>
  </rv>
  <rv s="3">
    <fb>44593</fb>
    <v>5</v>
  </rv>
  <rv s="3">
    <fb>24.638000000000002</fb>
    <v>6</v>
  </rv>
  <rv s="3">
    <fb>44594</fb>
    <v>5</v>
  </rv>
  <rv s="3">
    <fb>25.242000000000001</fb>
    <v>6</v>
  </rv>
  <rv s="3">
    <fb>44595</fb>
    <v>5</v>
  </rv>
  <rv s="3">
    <fb>23.948</fb>
    <v>6</v>
  </rv>
  <rv s="3">
    <fb>44596</fb>
    <v>5</v>
  </rv>
  <rv s="3">
    <fb>24.318999999999999</fb>
    <v>6</v>
  </rv>
  <rv s="3">
    <fb>44599</fb>
    <v>5</v>
  </rv>
  <rv s="3">
    <fb>24.728000000000002</fb>
    <v>6</v>
  </rv>
  <rv s="3">
    <fb>44600</fb>
    <v>5</v>
  </rv>
  <rv s="3">
    <fb>25.108000000000001</fb>
    <v>6</v>
  </rv>
  <rv s="3">
    <fb>44601</fb>
    <v>5</v>
  </rv>
  <rv s="3">
    <fb>26.704999999999998</fb>
    <v>6</v>
  </rv>
  <rv s="3">
    <fb>44602</fb>
    <v>5</v>
  </rv>
  <rv s="3">
    <fb>25.824000000000002</fb>
    <v>6</v>
  </rv>
  <rv s="3">
    <fb>44603</fb>
    <v>5</v>
  </rv>
  <rv s="3">
    <fb>23.949000000000002</fb>
    <v>6</v>
  </rv>
  <rv s="3">
    <fb>44606</fb>
    <v>5</v>
  </rv>
  <rv s="3">
    <fb>24.266999999999999</fb>
    <v>6</v>
  </rv>
  <rv s="3">
    <fb>44607</fb>
    <v>5</v>
  </rv>
  <rv s="3">
    <fb>26.495000000000001</fb>
    <v>6</v>
  </rv>
  <rv s="3">
    <fb>44608</fb>
    <v>5</v>
  </rv>
  <rv s="3">
    <fb>26.510999999999999</fb>
    <v>6</v>
  </rv>
  <rv s="3">
    <fb>44609</fb>
    <v>5</v>
  </rv>
  <rv s="3">
    <fb>24.507000000000001</fb>
    <v>6</v>
  </rv>
  <rv s="3">
    <fb>44610</fb>
    <v>5</v>
  </rv>
  <rv s="3">
    <fb>23.641999999999999</fb>
    <v>6</v>
  </rv>
  <rv s="3">
    <fb>44614</fb>
    <v>5</v>
  </rv>
  <rv s="3">
    <fb>23.39</fb>
    <v>6</v>
  </rv>
  <rv s="3">
    <fb>44615</fb>
    <v>5</v>
  </rv>
  <rv s="3">
    <fb>22.387</fb>
    <v>6</v>
  </rv>
  <rv s="3">
    <fb>44616</fb>
    <v>5</v>
  </rv>
  <rv s="3">
    <fb>23.748000000000001</fb>
    <v>6</v>
  </rv>
  <rv s="3">
    <fb>44617</fb>
    <v>5</v>
  </rv>
  <rv s="3">
    <fb>24.157</fb>
    <v>6</v>
  </rv>
  <rv s="3">
    <fb>44620</fb>
    <v>5</v>
  </rv>
  <rv s="3">
    <fb>24.385000000000002</fb>
    <v>6</v>
  </rv>
  <rv s="3">
    <fb>44621</fb>
    <v>5</v>
  </rv>
  <rv s="3">
    <fb>23.477</fb>
    <v>6</v>
  </rv>
  <rv s="3">
    <fb>44622</fb>
    <v>5</v>
  </rv>
  <rv s="3">
    <fb>24.22</fb>
    <v>6</v>
  </rv>
  <rv s="3">
    <fb>44623</fb>
    <v>5</v>
  </rv>
  <rv s="3">
    <fb>23.713999999999999</fb>
    <v>6</v>
  </rv>
  <rv s="3">
    <fb>44624</fb>
    <v>5</v>
  </rv>
  <rv s="3">
    <fb>22.936</fb>
    <v>6</v>
  </rv>
  <rv s="3">
    <fb>44627</fb>
    <v>5</v>
  </rv>
  <rv s="3">
    <fb>21.352</fb>
    <v>6</v>
  </rv>
  <rv s="3">
    <fb>44628</fb>
    <v>5</v>
  </rv>
  <rv s="3">
    <fb>21.513999999999999</fb>
    <v>6</v>
  </rv>
  <rv s="3">
    <fb>44629</fb>
    <v>5</v>
  </rv>
  <rv s="3">
    <fb>23.013999999999999</fb>
    <v>6</v>
  </rv>
  <rv s="3">
    <fb>44630</fb>
    <v>5</v>
  </rv>
  <rv s="3">
    <fb>22.658000000000001</fb>
    <v>6</v>
  </rv>
  <rv s="3">
    <fb>44631</fb>
    <v>5</v>
  </rv>
  <rv s="3">
    <fb>22.1</fb>
    <v>6</v>
  </rv>
  <rv s="3">
    <fb>44634</fb>
    <v>5</v>
  </rv>
  <rv s="3">
    <fb>21.33</fb>
    <v>6</v>
  </rv>
  <rv s="3">
    <fb>44635</fb>
    <v>5</v>
  </rv>
  <rv s="3">
    <fb>22.972999999999999</fb>
    <v>6</v>
  </rv>
  <rv s="3">
    <fb>44636</fb>
    <v>5</v>
  </rv>
  <rv s="3">
    <fb>24.495999999999999</fb>
    <v>6</v>
  </rv>
  <rv s="3">
    <fb>44637</fb>
    <v>5</v>
  </rv>
  <rv s="3">
    <fb>24.765999999999998</fb>
    <v>6</v>
  </rv>
  <rv s="3">
    <fb>44638</fb>
    <v>5</v>
  </rv>
  <rv s="3">
    <fb>26.452999999999999</fb>
    <v>6</v>
  </rv>
  <rv s="3">
    <fb>44641</fb>
    <v>5</v>
  </rv>
  <rv s="3">
    <fb>26.734000000000002</fb>
    <v>6</v>
  </rv>
  <rv s="3">
    <fb>44642</fb>
    <v>5</v>
  </rv>
  <rv s="3">
    <fb>26.524000000000001</fb>
    <v>6</v>
  </rv>
  <rv s="3">
    <fb>44643</fb>
    <v>5</v>
  </rv>
  <rv s="3">
    <fb>25.634</fb>
    <v>6</v>
  </rv>
  <rv s="3">
    <fb>44644</fb>
    <v>5</v>
  </rv>
  <rv s="3">
    <fb>28.15</fb>
    <v>6</v>
  </rv>
  <rv s="3">
    <fb>44645</fb>
    <v>5</v>
  </rv>
  <rv s="3">
    <fb>27.692</fb>
    <v>6</v>
  </rv>
  <rv s="3">
    <fb>44648</fb>
    <v>5</v>
  </rv>
  <rv s="3">
    <fb>28.219000000000001</fb>
    <v>6</v>
  </rv>
  <rv s="3">
    <fb>44649</fb>
    <v>5</v>
  </rv>
  <rv s="3">
    <fb>28.655999999999999</fb>
    <v>6</v>
  </rv>
  <rv s="3">
    <fb>44650</fb>
    <v>5</v>
  </rv>
  <rv s="3">
    <fb>27.69</fb>
    <v>6</v>
  </rv>
  <rv s="3">
    <fb>44651</fb>
    <v>5</v>
  </rv>
  <rv s="3">
    <fb>27.286000000000001</fb>
    <v>6</v>
  </rv>
  <rv s="3">
    <fb>44652</fb>
    <v>5</v>
  </rv>
  <rv s="3">
    <fb>26.712</fb>
    <v>6</v>
  </rv>
  <rv s="3">
    <fb>44655</fb>
    <v>5</v>
  </rv>
  <rv s="3">
    <fb>27.36</fb>
    <v>6</v>
  </rv>
  <rv s="3">
    <fb>44656</fb>
    <v>5</v>
  </rv>
  <rv s="3">
    <fb>25.931000000000001</fb>
    <v>6</v>
  </rv>
  <rv s="3">
    <fb>44657</fb>
    <v>5</v>
  </rv>
  <rv s="3">
    <fb>24.407</fb>
    <v>6</v>
  </rv>
  <rv s="3">
    <fb>44658</fb>
    <v>5</v>
  </rv>
  <rv s="3">
    <fb>24.207999999999998</fb>
    <v>6</v>
  </rv>
  <rv s="3">
    <fb>44659</fb>
    <v>5</v>
  </rv>
  <rv s="3">
    <fb>23.119</fb>
    <v>6</v>
  </rv>
  <rv s="3">
    <fb>44662</fb>
    <v>5</v>
  </rv>
  <rv s="3">
    <fb>21.917000000000002</fb>
    <v>6</v>
  </rv>
  <rv s="3">
    <fb>44663</fb>
    <v>5</v>
  </rv>
  <rv s="3">
    <fb>21.504000000000001</fb>
    <v>6</v>
  </rv>
  <rv s="3">
    <fb>44664</fb>
    <v>5</v>
  </rv>
  <rv s="3">
    <fb>22.202999999999999</fb>
    <v>6</v>
  </rv>
  <rv s="3">
    <fb>44665</fb>
    <v>5</v>
  </rv>
  <rv s="3">
    <fb>21.257999999999999</fb>
    <v>6</v>
  </rv>
  <rv s="3">
    <fb>44669</fb>
    <v>5</v>
  </rv>
  <rv s="3">
    <fb>21.783000000000001</fb>
    <v>6</v>
  </rv>
  <rv s="3">
    <fb>44670</fb>
    <v>5</v>
  </rv>
  <rv s="3">
    <fb>22.198</fb>
    <v>6</v>
  </rv>
  <rv s="3">
    <fb>44671</fb>
    <v>5</v>
  </rv>
  <rv s="3">
    <fb>21.481999999999999</fb>
    <v>6</v>
  </rv>
  <rv s="3">
    <fb>44672</fb>
    <v>5</v>
  </rv>
  <rv s="3">
    <fb>20.183</fb>
    <v>6</v>
  </rv>
  <rv s="3">
    <fb>44673</fb>
    <v>5</v>
  </rv>
  <rv s="3">
    <fb>19.515000000000001</fb>
    <v>6</v>
  </rv>
  <rv s="3">
    <fb>44676</fb>
    <v>5</v>
  </rv>
  <rv s="3">
    <fb>19.902000000000001</fb>
    <v>6</v>
  </rv>
  <rv s="3">
    <fb>44677</fb>
    <v>5</v>
  </rv>
  <rv s="3">
    <fb>18.788</fb>
    <v>6</v>
  </rv>
  <rv s="3">
    <fb>44678</fb>
    <v>5</v>
  </rv>
  <rv s="3">
    <fb>18.414999999999999</fb>
    <v>6</v>
  </rv>
  <rv s="3">
    <fb>44679</fb>
    <v>5</v>
  </rv>
  <rv s="3">
    <fb>19.782</fb>
    <v>6</v>
  </rv>
  <rv s="3">
    <fb>44680</fb>
    <v>5</v>
  </rv>
  <rv s="3">
    <fb>18.547000000000001</fb>
    <v>6</v>
  </rv>
  <rv s="3">
    <fb>44683</fb>
    <v>5</v>
  </rv>
  <rv s="3">
    <fb>19.533000000000001</fb>
    <v>6</v>
  </rv>
  <rv s="3">
    <fb>44684</fb>
    <v>5</v>
  </rv>
  <rv s="3">
    <fb>19.602</fb>
    <v>6</v>
  </rv>
  <rv s="3">
    <fb>44685</fb>
    <v>5</v>
  </rv>
  <rv s="3">
    <fb>20.334</fb>
    <v>6</v>
  </rv>
  <rv s="3">
    <fb>44686</fb>
    <v>5</v>
  </rv>
  <rv s="3">
    <fb>18.844000000000001</fb>
    <v>6</v>
  </rv>
  <rv s="3">
    <fb>44687</fb>
    <v>5</v>
  </rv>
  <rv s="3">
    <fb>18.675000000000001</fb>
    <v>6</v>
  </rv>
  <rv s="3">
    <fb>44690</fb>
    <v>5</v>
  </rv>
  <rv s="3">
    <fb>16.95</fb>
    <v>6</v>
  </rv>
  <rv s="3">
    <fb>44691</fb>
    <v>5</v>
  </rv>
  <rv s="3">
    <fb>17.594999999999999</fb>
    <v>6</v>
  </rv>
  <rv s="3">
    <fb>44692</fb>
    <v>5</v>
  </rv>
  <rv s="3">
    <fb>16.63</fb>
    <v>6</v>
  </rv>
  <rv s="3">
    <fb>44693</fb>
    <v>5</v>
  </rv>
  <rv s="3">
    <fb>16.175000000000001</fb>
    <v>6</v>
  </rv>
  <rv s="3">
    <fb>44694</fb>
    <v>5</v>
  </rv>
  <rv s="3">
    <fb>17.706</fb>
    <v>6</v>
  </rv>
  <rv s="3">
    <fb>44697</fb>
    <v>5</v>
  </rv>
  <rv s="3">
    <fb>17.263999999999999</fb>
    <v>6</v>
  </rv>
  <rv s="3">
    <fb>44698</fb>
    <v>5</v>
  </rv>
  <rv s="3">
    <fb>18.177</fb>
    <v>6</v>
  </rv>
  <rv s="3">
    <fb>44699</fb>
    <v>5</v>
  </rv>
  <rv s="3">
    <fb>16.937999999999999</fb>
    <v>6</v>
  </rv>
  <rv s="3">
    <fb>44700</fb>
    <v>5</v>
  </rv>
  <rv s="3">
    <fb>17.123999999999999</fb>
    <v>6</v>
  </rv>
  <rv s="3">
    <fb>44701</fb>
    <v>5</v>
  </rv>
  <rv s="3">
    <fb>16.693999999999999</fb>
    <v>6</v>
  </rv>
  <rv s="3">
    <fb>44704</fb>
    <v>5</v>
  </rv>
  <rv s="3">
    <fb>16.898</fb>
    <v>6</v>
  </rv>
  <rv s="3">
    <fb>44705</fb>
    <v>5</v>
  </rv>
  <rv s="3">
    <fb>16.154</fb>
    <v>6</v>
  </rv>
  <rv s="3">
    <fb>44706</fb>
    <v>5</v>
  </rv>
  <rv s="3">
    <fb>16.975000000000001</fb>
    <v>6</v>
  </rv>
  <rv s="3">
    <fb>44707</fb>
    <v>5</v>
  </rv>
  <rv s="3">
    <fb>17.850999999999999</fb>
    <v>6</v>
  </rv>
  <rv s="3">
    <fb>44708</fb>
    <v>5</v>
  </rv>
  <rv s="3">
    <fb>18.811</fb>
    <v>6</v>
  </rv>
  <rv s="3">
    <fb>44712</fb>
    <v>5</v>
  </rv>
  <rv s="3">
    <fb>18.672000000000001</fb>
    <v>6</v>
  </rv>
  <rv s="3">
    <fb>44713</fb>
    <v>5</v>
  </rv>
  <rv s="3">
    <fb>18.32</fb>
    <v>6</v>
  </rv>
  <rv s="3">
    <fb>44714</fb>
    <v>5</v>
  </rv>
  <rv s="3">
    <fb>19.591999999999999</fb>
    <v>6</v>
  </rv>
  <rv s="3">
    <fb>44715</fb>
    <v>5</v>
  </rv>
  <rv s="3">
    <fb>18.72</fb>
    <v>6</v>
  </rv>
  <rv s="3">
    <fb>44718</fb>
    <v>5</v>
  </rv>
  <rv s="3">
    <fb>18.786000000000001</fb>
    <v>6</v>
  </rv>
  <rv s="3">
    <fb>44719</fb>
    <v>5</v>
  </rv>
  <rv s="3">
    <fb>18.925999999999998</fb>
    <v>6</v>
  </rv>
  <rv s="3">
    <fb>44720</fb>
    <v>5</v>
  </rv>
  <rv s="3">
    <fb>18.648</fb>
    <v>6</v>
  </rv>
  <rv s="3">
    <fb>44721</fb>
    <v>5</v>
  </rv>
  <rv s="3">
    <fb>18.047999999999998</fb>
    <v>6</v>
  </rv>
  <rv s="3">
    <fb>44722</fb>
    <v>5</v>
  </rv>
  <rv s="3">
    <fb>16.974</fb>
    <v>6</v>
  </rv>
  <rv s="3">
    <fb>44725</fb>
    <v>5</v>
  </rv>
  <rv s="3">
    <fb>15.647</fb>
    <v>6</v>
  </rv>
  <rv s="3">
    <fb>44726</fb>
    <v>5</v>
  </rv>
  <rv s="3">
    <fb>15.836</fb>
    <v>6</v>
  </rv>
  <rv s="3">
    <fb>44727</fb>
    <v>5</v>
  </rv>
  <rv s="3">
    <fb>16.527000000000001</fb>
    <v>6</v>
  </rv>
  <rv s="3">
    <fb>44728</fb>
    <v>5</v>
  </rv>
  <rv s="3">
    <fb>15.601000000000001</fb>
    <v>6</v>
  </rv>
  <rv s="3">
    <fb>44729</fb>
    <v>5</v>
  </rv>
  <rv s="3">
    <fb>15.88</fb>
    <v>6</v>
  </rv>
  <rv s="3">
    <fb>44733</fb>
    <v>5</v>
  </rv>
  <rv s="3">
    <fb>16.565999999999999</fb>
    <v>6</v>
  </rv>
  <rv s="3">
    <fb>44734</fb>
    <v>5</v>
  </rv>
  <rv s="3">
    <fb>16.36</fb>
    <v>6</v>
  </rv>
  <rv s="3">
    <fb>44735</fb>
    <v>5</v>
  </rv>
  <rv s="3">
    <fb>16.225000000000001</fb>
    <v>6</v>
  </rv>
  <rv s="3">
    <fb>44736</fb>
    <v>5</v>
  </rv>
  <rv s="3">
    <fb>17.126000000000001</fb>
    <v>6</v>
  </rv>
  <rv s="3">
    <fb>44739</fb>
    <v>5</v>
  </rv>
  <rv s="3">
    <fb>16.869</fb>
    <v>6</v>
  </rv>
  <rv s="3">
    <fb>44740</fb>
    <v>5</v>
  </rv>
  <rv s="3">
    <fb>15.981999999999999</fb>
    <v>6</v>
  </rv>
  <rv s="3">
    <fb>44741</fb>
    <v>5</v>
  </rv>
  <rv s="3">
    <fb>15.542</fb>
    <v>6</v>
  </rv>
  <rv s="3">
    <fb>44742</fb>
    <v>5</v>
  </rv>
  <rv s="3">
    <fb>15.159000000000001</fb>
    <v>6</v>
  </rv>
  <rv s="3">
    <fb>44743</fb>
    <v>5</v>
  </rv>
  <rv s="3">
    <fb>44747</fb>
    <v>5</v>
  </rv>
  <rv s="3">
    <fb>14.964</fb>
    <v>6</v>
  </rv>
  <rv s="3">
    <fb>44748</fb>
    <v>5</v>
  </rv>
  <rv s="3">
    <fb>15.13</fb>
    <v>6</v>
  </rv>
  <rv s="3">
    <fb>44749</fb>
    <v>5</v>
  </rv>
  <rv s="3">
    <fb>15.858000000000001</fb>
    <v>6</v>
  </rv>
  <rv s="3">
    <fb>44750</fb>
    <v>5</v>
  </rv>
  <rv s="3">
    <fb>15.837999999999999</fb>
    <v>6</v>
  </rv>
  <rv s="3">
    <fb>44753</fb>
    <v>5</v>
  </rv>
  <rv s="3">
    <fb>15.151999999999999</fb>
    <v>6</v>
  </rv>
  <rv s="3">
    <fb>44754</fb>
    <v>5</v>
  </rv>
  <rv s="3">
    <fb>15.082000000000001</fb>
    <v>6</v>
  </rv>
  <rv s="3">
    <fb>44755</fb>
    <v>5</v>
  </rv>
  <rv s="3">
    <fb>15.164</fb>
    <v>6</v>
  </rv>
  <rv s="3">
    <fb>44756</fb>
    <v>5</v>
  </rv>
  <rv s="3">
    <fb>15.372</fb>
    <v>6</v>
  </rv>
  <rv s="3">
    <fb>44757</fb>
    <v>5</v>
  </rv>
  <rv s="3">
    <fb>15.762</fb>
    <v>6</v>
  </rv>
  <rv s="3">
    <fb>44760</fb>
    <v>5</v>
  </rv>
  <rv s="3">
    <fb>16.100999999999999</fb>
    <v>6</v>
  </rv>
  <rv s="3">
    <fb>44761</fb>
    <v>5</v>
  </rv>
  <rv s="3">
    <fb>16.992000000000001</fb>
    <v>6</v>
  </rv>
  <rv s="3">
    <fb>44762</fb>
    <v>5</v>
  </rv>
  <rv s="3">
    <fb>17.806999999999999</fb>
    <v>6</v>
  </rv>
  <rv s="3">
    <fb>44763</fb>
    <v>5</v>
  </rv>
  <rv s="3">
    <fb>18.05</fb>
    <v>6</v>
  </rv>
  <rv s="3">
    <fb>44764</fb>
    <v>5</v>
  </rv>
  <rv s="3">
    <fb>17.318999999999999</fb>
    <v>6</v>
  </rv>
  <rv s="3">
    <fb>44767</fb>
    <v>5</v>
  </rv>
  <rv s="3">
    <fb>17.024000000000001</fb>
    <v>6</v>
  </rv>
  <rv s="3">
    <fb>44768</fb>
    <v>5</v>
  </rv>
  <rv s="3">
    <fb>16.533000000000001</fb>
    <v>6</v>
  </rv>
  <rv s="3">
    <fb>44769</fb>
    <v>5</v>
  </rv>
  <rv s="3">
    <fb>17.79</fb>
    <v>6</v>
  </rv>
  <rv s="3">
    <fb>44770</fb>
    <v>5</v>
  </rv>
  <rv s="3">
    <fb>17.984000000000002</fb>
    <v>6</v>
  </rv>
  <rv s="3">
    <fb>44771</fb>
    <v>5</v>
  </rv>
  <rv s="3">
    <fb>18.163</fb>
    <v>6</v>
  </rv>
  <rv s="3">
    <fb>44774</fb>
    <v>5</v>
  </rv>
  <rv s="3">
    <fb>18.440999999999999</fb>
    <v>6</v>
  </rv>
  <rv s="3">
    <fb>44775</fb>
    <v>5</v>
  </rv>
  <rv s="3">
    <fb>18.526</fb>
    <v>6</v>
  </rv>
  <rv s="3">
    <fb>44776</fb>
    <v>5</v>
  </rv>
  <rv s="3">
    <fb>18.893000000000001</fb>
    <v>6</v>
  </rv>
  <rv s="3">
    <fb>44777</fb>
    <v>5</v>
  </rv>
  <rv s="3">
    <fb>19.215</fb>
    <v>6</v>
  </rv>
  <rv s="3">
    <fb>44778</fb>
    <v>5</v>
  </rv>
  <rv s="3">
    <fb>18.989000000000001</fb>
    <v>6</v>
  </rv>
  <rv s="3">
    <fb>44781</fb>
    <v>5</v>
  </rv>
  <rv s="3">
    <fb>17.792999999999999</fb>
    <v>6</v>
  </rv>
  <rv s="3">
    <fb>44782</fb>
    <v>5</v>
  </rv>
  <rv s="3">
    <fb>17.085999999999999</fb>
    <v>6</v>
  </rv>
  <rv s="3">
    <fb>44783</fb>
    <v>5</v>
  </rv>
  <rv s="3">
    <fb>18.097000000000001</fb>
    <v>6</v>
  </rv>
  <rv s="3">
    <fb>44784</fb>
    <v>5</v>
  </rv>
  <rv s="3">
    <fb>17.942</fb>
    <v>6</v>
  </rv>
  <rv s="3">
    <fb>44785</fb>
    <v>5</v>
  </rv>
  <rv s="3">
    <fb>18.709</fb>
    <v>6</v>
  </rv>
  <rv s="3">
    <fb>44788</fb>
    <v>5</v>
  </rv>
  <rv s="3">
    <fb>19.032</fb>
    <v>6</v>
  </rv>
  <rv s="3">
    <fb>44789</fb>
    <v>5</v>
  </rv>
  <rv s="3">
    <fb>18.879000000000001</fb>
    <v>6</v>
  </rv>
  <rv s="3">
    <fb>44790</fb>
    <v>5</v>
  </rv>
  <rv s="3">
    <fb>18.335000000000001</fb>
    <v>6</v>
  </rv>
  <rv s="3">
    <fb>44791</fb>
    <v>5</v>
  </rv>
  <rv s="3">
    <fb>18.773</fb>
    <v>6</v>
  </rv>
  <rv s="3">
    <fb>44792</fb>
    <v>5</v>
  </rv>
  <rv s="3">
    <fb>17.849</fb>
    <v>6</v>
  </rv>
  <rv s="3">
    <fb>44795</fb>
    <v>5</v>
  </rv>
  <rv s="3">
    <fb>17.033999999999999</fb>
    <v>6</v>
  </rv>
  <rv s="3">
    <fb>44796</fb>
    <v>5</v>
  </rv>
  <rv s="3">
    <fb>17.181000000000001</fb>
    <v>6</v>
  </rv>
  <rv s="3">
    <fb>44797</fb>
    <v>5</v>
  </rv>
  <rv s="3">
    <fb>17.222000000000001</fb>
    <v>6</v>
  </rv>
  <rv s="3">
    <fb>44798</fb>
    <v>5</v>
  </rv>
  <rv s="3">
    <fb>17.913</fb>
    <v>6</v>
  </rv>
  <rv s="3">
    <fb>44799</fb>
    <v>5</v>
  </rv>
  <rv s="3">
    <fb>16.260000000000002</fb>
    <v>6</v>
  </rv>
  <rv s="3">
    <fb>44802</fb>
    <v>5</v>
  </rv>
  <rv s="3">
    <fb>15.801</fb>
    <v>6</v>
  </rv>
  <rv s="3">
    <fb>44803</fb>
    <v>5</v>
  </rv>
  <rv s="3">
    <fb>15.468</fb>
    <v>6</v>
  </rv>
  <rv s="3">
    <fb>44804</fb>
    <v>5</v>
  </rv>
  <rv s="3">
    <fb>15.093999999999999</fb>
    <v>6</v>
  </rv>
  <rv s="3">
    <fb>44805</fb>
    <v>5</v>
  </rv>
  <rv s="3">
    <fb>13.936999999999999</fb>
    <v>6</v>
  </rv>
  <rv s="3">
    <fb>44806</fb>
    <v>5</v>
  </rv>
  <rv s="3">
    <fb>13.647</fb>
    <v>6</v>
  </rv>
  <rv s="3">
    <fb>44810</fb>
    <v>5</v>
  </rv>
  <rv s="3">
    <fb>13.465</fb>
    <v>6</v>
  </rv>
  <rv s="3">
    <fb>44811</fb>
    <v>5</v>
  </rv>
  <rv s="3">
    <fb>13.714</fb>
    <v>6</v>
  </rv>
  <rv s="3">
    <fb>44812</fb>
    <v>5</v>
  </rv>
  <rv s="3">
    <fb>13.99</fb>
    <v>6</v>
  </rv>
  <rv s="3">
    <fb>44813</fb>
    <v>5</v>
  </rv>
  <rv s="3">
    <fb>14.387</fb>
    <v>6</v>
  </rv>
  <rv s="3">
    <fb>44816</fb>
    <v>5</v>
  </rv>
  <rv s="3">
    <fb>14.505000000000001</fb>
    <v>6</v>
  </rv>
  <rv s="3">
    <fb>44817</fb>
    <v>5</v>
  </rv>
  <rv s="3">
    <fb>13.131</fb>
    <v>6</v>
  </rv>
  <rv s="3">
    <fb>44818</fb>
    <v>5</v>
  </rv>
  <rv s="3">
    <fb>13.128</fb>
    <v>6</v>
  </rv>
  <rv s="3">
    <fb>44819</fb>
    <v>5</v>
  </rv>
  <rv s="3">
    <fb>12.929</fb>
    <v>6</v>
  </rv>
  <rv s="3">
    <fb>44820</fb>
    <v>5</v>
  </rv>
  <rv s="3">
    <fb>13.198</fb>
    <v>6</v>
  </rv>
  <rv s="3">
    <fb>44823</fb>
    <v>5</v>
  </rv>
  <rv s="3">
    <fb>13.382</fb>
    <v>6</v>
  </rv>
  <rv s="3">
    <fb>44824</fb>
    <v>5</v>
  </rv>
  <rv s="3">
    <fb>13.176</fb>
    <v>6</v>
  </rv>
  <rv s="3">
    <fb>44825</fb>
    <v>5</v>
  </rv>
  <rv s="3">
    <fb>13.260999999999999</fb>
    <v>6</v>
  </rv>
  <rv s="3">
    <fb>44826</fb>
    <v>5</v>
  </rv>
  <rv s="3">
    <fb>12.561</fb>
    <v>6</v>
  </rv>
  <rv s="3">
    <fb>44827</fb>
    <v>5</v>
  </rv>
  <rv s="3">
    <fb>12.516</fb>
    <v>6</v>
  </rv>
  <rv s="3">
    <fb>44830</fb>
    <v>5</v>
  </rv>
  <rv s="3">
    <fb>12.228</fb>
    <v>6</v>
  </rv>
  <rv s="3">
    <fb>44831</fb>
    <v>5</v>
  </rv>
  <rv s="3">
    <fb>12.413</fb>
    <v>6</v>
  </rv>
  <rv s="3">
    <fb>44832</fb>
    <v>5</v>
  </rv>
  <rv s="3">
    <fb>12.736000000000001</fb>
    <v>6</v>
  </rv>
  <rv s="3">
    <fb>44833</fb>
    <v>5</v>
  </rv>
  <rv s="3">
    <fb>12.22</fb>
    <v>6</v>
  </rv>
  <rv s="3">
    <fb>44834</fb>
    <v>5</v>
  </rv>
  <rv s="3">
    <fb>12.138999999999999</fb>
    <v>6</v>
  </rv>
  <rv s="3">
    <fb>44837</fb>
    <v>5</v>
  </rv>
  <rv s="3">
    <fb>12.512</fb>
    <v>6</v>
  </rv>
  <rv s="3">
    <fb>44838</fb>
    <v>5</v>
  </rv>
  <rv s="3">
    <fb>13.167</fb>
    <v>6</v>
  </rv>
  <rv s="3">
    <fb>44839</fb>
    <v>5</v>
  </rv>
  <rv s="3">
    <fb>13.209</fb>
    <v>6</v>
  </rv>
  <rv s="3">
    <fb>44840</fb>
    <v>5</v>
  </rv>
  <rv s="3">
    <fb>13.13</fb>
    <v>6</v>
  </rv>
  <rv s="3">
    <fb>44841</fb>
    <v>5</v>
  </rv>
  <rv s="3">
    <fb>12.076000000000001</fb>
    <v>6</v>
  </rv>
  <rv s="3">
    <fb>44844</fb>
    <v>5</v>
  </rv>
  <rv s="3">
    <fb>11.67</fb>
    <v>6</v>
  </rv>
  <rv s="3">
    <fb>44845</fb>
    <v>5</v>
  </rv>
  <rv s="3">
    <fb>11.586</fb>
    <v>6</v>
  </rv>
  <rv s="3">
    <fb>44846</fb>
    <v>5</v>
  </rv>
  <rv s="3">
    <fb>11.5</fb>
    <v>6</v>
  </rv>
  <rv s="3">
    <fb>44847</fb>
    <v>5</v>
  </rv>
  <rv s="3">
    <fb>11.96</fb>
    <v>6</v>
  </rv>
  <rv s="3">
    <fb>44848</fb>
    <v>5</v>
  </rv>
  <rv s="3">
    <fb>11.227</fb>
    <v>6</v>
  </rv>
  <rv s="3">
    <fb>44851</fb>
    <v>5</v>
  </rv>
  <rv s="3">
    <fb>11.888</fb>
    <v>6</v>
  </rv>
  <rv s="3">
    <fb>44852</fb>
    <v>5</v>
  </rv>
  <rv s="3">
    <fb>11.967000000000001</fb>
    <v>6</v>
  </rv>
  <rv s="3">
    <fb>44853</fb>
    <v>5</v>
  </rv>
  <rv s="3">
    <fb>12.051</fb>
    <v>6</v>
  </rv>
  <rv s="3">
    <fb>44854</fb>
    <v>5</v>
  </rv>
  <rv s="3">
    <fb>12.194000000000001</fb>
    <v>6</v>
  </rv>
  <rv s="3">
    <fb>44855</fb>
    <v>5</v>
  </rv>
  <rv s="3">
    <fb>12.465999999999999</fb>
    <v>6</v>
  </rv>
  <rv s="3">
    <fb>44858</fb>
    <v>5</v>
  </rv>
  <rv s="3">
    <fb>12.599</fb>
    <v>6</v>
  </rv>
  <rv s="3">
    <fb>44859</fb>
    <v>5</v>
  </rv>
  <rv s="3">
    <fb>44860</fb>
    <v>5</v>
  </rv>
  <rv s="3">
    <fb>12.896000000000001</fb>
    <v>6</v>
  </rv>
  <rv s="3">
    <fb>44861</fb>
    <v>5</v>
  </rv>
  <rv s="3">
    <fb>44862</fb>
    <v>5</v>
  </rv>
  <rv s="3">
    <fb>13.834</fb>
    <v>6</v>
  </rv>
  <rv s="3">
    <fb>44865</fb>
    <v>5</v>
  </rv>
  <rv s="3">
    <fb>13.497</fb>
    <v>6</v>
  </rv>
  <rv s="3">
    <fb>44866</fb>
    <v>5</v>
  </rv>
  <rv s="3">
    <fb>13.542999999999999</fb>
    <v>6</v>
  </rv>
  <rv s="3">
    <fb>44867</fb>
    <v>5</v>
  </rv>
  <rv s="3">
    <fb>13.218999999999999</fb>
    <v>6</v>
  </rv>
  <rv s="3">
    <fb>44868</fb>
    <v>5</v>
  </rv>
  <rv s="3">
    <fb>13.420999999999999</fb>
    <v>6</v>
  </rv>
  <rv s="3">
    <fb>44869</fb>
    <v>5</v>
  </rv>
  <rv s="3">
    <fb>14.156000000000001</fb>
    <v>6</v>
  </rv>
  <rv s="3">
    <fb>44872</fb>
    <v>5</v>
  </rv>
  <rv s="3">
    <fb>14.301</fb>
    <v>6</v>
  </rv>
  <rv s="3">
    <fb>44873</fb>
    <v>5</v>
  </rv>
  <rv s="3">
    <fb>14.602</fb>
    <v>6</v>
  </rv>
  <rv s="3">
    <fb>44874</fb>
    <v>5</v>
  </rv>
  <rv s="3">
    <fb>13.776</fb>
    <v>6</v>
  </rv>
  <rv s="3">
    <fb>44875</fb>
    <v>5</v>
  </rv>
  <rv s="3">
    <fb>15.75</fb>
    <v>6</v>
  </rv>
  <rv s="3">
    <fb>44876</fb>
    <v>5</v>
  </rv>
  <rv s="3">
    <fb>16.327000000000002</fb>
    <v>6</v>
  </rv>
  <rv s="3">
    <fb>44879</fb>
    <v>5</v>
  </rv>
  <rv s="3">
    <fb>16.295000000000002</fb>
    <v>6</v>
  </rv>
  <rv s="3">
    <fb>44880</fb>
    <v>5</v>
  </rv>
  <rv s="3">
    <fb>16.666</fb>
    <v>6</v>
  </rv>
  <rv s="3">
    <fb>44881</fb>
    <v>5</v>
  </rv>
  <rv s="3">
    <fb>15.91</fb>
    <v>6</v>
  </rv>
  <rv s="3">
    <fb>44882</fb>
    <v>5</v>
  </rv>
  <rv s="3">
    <fb>15.677</fb>
    <v>6</v>
  </rv>
  <rv s="3">
    <fb>44883</fb>
    <v>5</v>
  </rv>
  <rv s="3">
    <fb>15.409000000000001</fb>
    <v>6</v>
  </rv>
  <rv s="3">
    <fb>44886</fb>
    <v>5</v>
  </rv>
  <rv s="3">
    <fb>15.317</fb>
    <v>6</v>
  </rv>
  <rv s="3">
    <fb>44887</fb>
    <v>5</v>
  </rv>
  <rv s="3">
    <fb>16.038</fb>
    <v>6</v>
  </rv>
  <rv s="3">
    <fb>44888</fb>
    <v>5</v>
  </rv>
  <rv s="3">
    <fb>16.518999999999998</fb>
    <v>6</v>
  </rv>
  <rv s="3">
    <fb>44890</fb>
    <v>5</v>
  </rv>
  <rv s="3">
    <fb>16.27</fb>
    <v>6</v>
  </rv>
  <rv s="3">
    <fb>44893</fb>
    <v>5</v>
  </rv>
  <rv s="3">
    <fb>15.827</fb>
    <v>6</v>
  </rv>
  <rv s="3">
    <fb>44894</fb>
    <v>5</v>
  </rv>
  <rv s="3">
    <fb>15.638999999999999</fb>
    <v>6</v>
  </rv>
  <rv s="3">
    <fb>44895</fb>
    <v>5</v>
  </rv>
  <rv s="3">
    <fb>16.922999999999998</fb>
    <v>6</v>
  </rv>
  <rv s="3">
    <fb>44896</fb>
    <v>5</v>
  </rv>
  <rv s="3">
    <fb>17.135000000000002</fb>
    <v>6</v>
  </rv>
  <rv s="3">
    <fb>44897</fb>
    <v>5</v>
  </rv>
  <rv s="3">
    <fb>16.876000000000001</fb>
    <v>6</v>
  </rv>
  <rv s="3">
    <fb>44900</fb>
    <v>5</v>
  </rv>
  <rv s="3">
    <fb>16.61</fb>
    <v>6</v>
  </rv>
  <rv s="3">
    <fb>44901</fb>
    <v>5</v>
  </rv>
  <rv s="3">
    <fb>15.987</fb>
    <v>6</v>
  </rv>
  <rv s="3">
    <fb>44902</fb>
    <v>5</v>
  </rv>
  <rv s="3">
    <fb>16.12</fb>
    <v>6</v>
  </rv>
  <rv s="3">
    <fb>44903</fb>
    <v>5</v>
  </rv>
  <rv s="3">
    <fb>17.169</fb>
    <v>6</v>
  </rv>
  <rv s="3">
    <fb>44904</fb>
    <v>5</v>
  </rv>
  <rv s="3">
    <fb>17.001000000000001</fb>
    <v>6</v>
  </rv>
  <rv s="3">
    <fb>44907</fb>
    <v>5</v>
  </rv>
  <rv s="3">
    <fb>17.535</fb>
    <v>6</v>
  </rv>
  <rv s="3">
    <fb>44908</fb>
    <v>5</v>
  </rv>
  <rv s="3">
    <fb>18.071999999999999</fb>
    <v>6</v>
  </rv>
  <rv s="3">
    <fb>44909</fb>
    <v>5</v>
  </rv>
  <rv s="3">
    <fb>17.673999999999999</fb>
    <v>6</v>
  </rv>
  <rv s="3">
    <fb>44910</fb>
    <v>5</v>
  </rv>
  <rv s="3">
    <fb>16.952000000000002</fb>
    <v>6</v>
  </rv>
  <rv s="3">
    <fb>44911</fb>
    <v>5</v>
  </rv>
  <rv s="3">
    <fb>16.571000000000002</fb>
    <v>6</v>
  </rv>
  <rv s="3">
    <fb>44914</fb>
    <v>5</v>
  </rv>
  <rv s="3">
    <fb>16.254000000000001</fb>
    <v>6</v>
  </rv>
  <rv s="3">
    <fb>44915</fb>
    <v>5</v>
  </rv>
  <rv s="3">
    <fb>16.085000000000001</fb>
    <v>6</v>
  </rv>
  <rv s="3">
    <fb>44916</fb>
    <v>5</v>
  </rv>
  <rv s="3">
    <fb>16.501000000000001</fb>
    <v>6</v>
  </rv>
  <rv s="3">
    <fb>44917</fb>
    <v>5</v>
  </rv>
  <rv s="3">
    <fb>15.339</fb>
    <v>6</v>
  </rv>
  <rv s="3">
    <fb>44918</fb>
    <v>5</v>
  </rv>
  <rv s="3">
    <fb>15.206</fb>
    <v>6</v>
  </rv>
  <rv s="3">
    <fb>44922</fb>
    <v>5</v>
  </rv>
  <rv s="3">
    <fb>14.121</fb>
    <v>6</v>
  </rv>
  <rv s="3">
    <fb>44923</fb>
    <v>5</v>
  </rv>
  <rv s="3">
    <fb>14.036</fb>
    <v>6</v>
  </rv>
  <rv s="3">
    <fb>44924</fb>
    <v>5</v>
  </rv>
  <rv s="3">
    <fb>14.603</fb>
    <v>6</v>
  </rv>
  <rv s="3">
    <fb>44925</fb>
    <v>5</v>
  </rv>
  <rv s="3">
    <fb>14.614000000000001</fb>
    <v>6</v>
  </rv>
  <rv s="3">
    <fb>44929</fb>
    <v>5</v>
  </rv>
  <rv s="3">
    <fb>14.315</fb>
    <v>6</v>
  </rv>
  <rv s="3">
    <fb>44930</fb>
    <v>5</v>
  </rv>
  <rv s="3">
    <fb>14.749000000000001</fb>
    <v>6</v>
  </rv>
  <rv s="3">
    <fb>44931</fb>
    <v>5</v>
  </rv>
  <rv s="3">
    <fb>14.265000000000001</fb>
    <v>6</v>
  </rv>
  <rv s="3">
    <fb>44932</fb>
    <v>5</v>
  </rv>
  <rv s="3">
    <fb>14.859</fb>
    <v>6</v>
  </rv>
  <rv s="3">
    <fb>44935</fb>
    <v>5</v>
  </rv>
  <rv s="3">
    <fb>15.628</fb>
    <v>6</v>
  </rv>
  <rv s="3">
    <fb>44936</fb>
    <v>5</v>
  </rv>
  <rv s="3">
    <fb>15.909000000000001</fb>
    <v>6</v>
  </rv>
  <rv s="3">
    <fb>44937</fb>
    <v>5</v>
  </rv>
  <rv s="3">
    <fb>16.001000000000001</fb>
    <v>6</v>
  </rv>
  <rv s="3">
    <fb>44938</fb>
    <v>5</v>
  </rv>
  <rv s="3">
    <fb>16.510999999999999</fb>
    <v>6</v>
  </rv>
  <rv s="3">
    <fb>44939</fb>
    <v>5</v>
  </rv>
  <rv s="3">
    <fb>16.899000000000001</fb>
    <v>6</v>
  </rv>
  <rv s="3">
    <fb>44943</fb>
    <v>5</v>
  </rv>
  <rv s="3">
    <fb>17.702000000000002</fb>
    <v>6</v>
  </rv>
  <rv s="3">
    <fb>44944</fb>
    <v>5</v>
  </rv>
  <rv s="3">
    <fb>17.376999999999999</fb>
    <v>6</v>
  </rv>
  <rv s="3">
    <fb>44945</fb>
    <v>5</v>
  </rv>
  <rv s="3">
    <fb>16.765000000000001</fb>
    <v>6</v>
  </rv>
  <rv s="3">
    <fb>44946</fb>
    <v>5</v>
  </rv>
  <rv s="3">
    <fb>17.838999999999999</fb>
    <v>6</v>
  </rv>
  <rv s="3">
    <fb>44949</fb>
    <v>5</v>
  </rv>
  <rv s="3">
    <fb>19.193000000000001</fb>
    <v>6</v>
  </rv>
  <rv s="3">
    <fb>44950</fb>
    <v>5</v>
  </rv>
  <rv s="3">
    <fb>19.265000000000001</fb>
    <v>6</v>
  </rv>
  <rv s="3">
    <fb>44951</fb>
    <v>5</v>
  </rv>
  <rv s="3">
    <fb>19.323</fb>
    <v>6</v>
  </rv>
  <rv s="3">
    <fb>44952</fb>
    <v>5</v>
  </rv>
  <rv s="3">
    <fb>19.802</fb>
    <v>6</v>
  </rv>
  <rv s="3">
    <fb>44953</fb>
    <v>5</v>
  </rv>
  <rv s="3">
    <fb>20.364999999999998</fb>
    <v>6</v>
  </rv>
  <rv s="3">
    <fb>44956</fb>
    <v>5</v>
  </rv>
  <rv s="3">
    <fb>19.161999999999999</fb>
    <v>6</v>
  </rv>
  <rv s="3">
    <fb>44957</fb>
    <v>5</v>
  </rv>
  <rv s="3">
    <fb>19.536999999999999</fb>
    <v>6</v>
  </rv>
  <rv s="3">
    <fb>44958</fb>
    <v>5</v>
  </rv>
  <rv s="3">
    <fb>20.943000000000001</fb>
    <v>6</v>
  </rv>
  <rv s="3">
    <fb>44959</fb>
    <v>5</v>
  </rv>
  <rv s="3">
    <fb>21.709</fb>
    <v>6</v>
  </rv>
  <rv s="3">
    <fb>44960</fb>
    <v>5</v>
  </rv>
  <rv s="3">
    <fb>21.1</fb>
    <v>6</v>
  </rv>
  <rv s="3">
    <fb>44963</fb>
    <v>5</v>
  </rv>
  <rv s="3">
    <fb>21.088999999999999</fb>
    <v>6</v>
  </rv>
  <rv s="3">
    <fb>44964</fb>
    <v>5</v>
  </rv>
  <rv s="3">
    <fb>22.172999999999998</fb>
    <v>6</v>
  </rv>
  <rv s="3">
    <fb>44965</fb>
    <v>5</v>
  </rv>
  <rv s="3">
    <fb>22.204999999999998</fb>
    <v>6</v>
  </rv>
  <rv s="3">
    <fb>44966</fb>
    <v>5</v>
  </rv>
  <rv s="3">
    <fb>22.337</fb>
    <v>6</v>
  </rv>
  <rv s="3">
    <fb>44967</fb>
    <v>5</v>
  </rv>
  <rv s="3">
    <fb>21.265000000000001</fb>
    <v>6</v>
  </rv>
  <rv s="3">
    <fb>44970</fb>
    <v>5</v>
  </rv>
  <rv s="3">
    <fb>21.788</fb>
    <v>6</v>
  </rv>
  <rv s="3">
    <fb>44971</fb>
    <v>5</v>
  </rv>
  <rv s="3">
    <fb>22.971</fb>
    <v>6</v>
  </rv>
  <rv s="3">
    <fb>44972</fb>
    <v>5</v>
  </rv>
  <rv s="3">
    <fb>22.763999999999999</fb>
    <v>6</v>
  </rv>
  <rv s="3">
    <fb>44973</fb>
    <v>5</v>
  </rv>
  <rv s="3">
    <fb>22.001999999999999</fb>
    <v>6</v>
  </rv>
  <rv s="3">
    <fb>44974</fb>
    <v>5</v>
  </rv>
  <rv s="3">
    <fb>21.388000000000002</fb>
    <v>6</v>
  </rv>
  <rv s="3">
    <fb>44978</fb>
    <v>5</v>
  </rv>
  <rv s="3">
    <fb>20.655000000000001</fb>
    <v>6</v>
  </rv>
  <rv s="3">
    <fb>44979</fb>
    <v>5</v>
  </rv>
  <rv s="3">
    <fb>20.754000000000001</fb>
    <v>6</v>
  </rv>
  <rv s="3">
    <fb>44980</fb>
    <v>5</v>
  </rv>
  <rv s="3">
    <fb>23.664000000000001</fb>
    <v>6</v>
  </rv>
  <rv s="3">
    <fb>44981</fb>
    <v>5</v>
  </rv>
  <rv s="3">
    <fb>23.286000000000001</fb>
    <v>6</v>
  </rv>
  <rv s="3">
    <fb>44984</fb>
    <v>5</v>
  </rv>
  <rv s="3">
    <fb>23.501000000000001</fb>
    <v>6</v>
  </rv>
  <rv s="3">
    <fb>44985</fb>
    <v>5</v>
  </rv>
  <rv s="3">
    <fb>23.216000000000001</fb>
    <v>6</v>
  </rv>
  <rv s="3">
    <fb>44986</fb>
    <v>5</v>
  </rv>
  <rv s="3">
    <fb>22.698</fb>
    <v>6</v>
  </rv>
  <rv s="3">
    <fb>44987</fb>
    <v>5</v>
  </rv>
  <rv s="3">
    <fb>23.314</fb>
    <v>6</v>
  </rv>
  <rv s="3">
    <fb>44988</fb>
    <v>5</v>
  </rv>
  <rv s="3">
    <fb>23.89</fb>
    <v>6</v>
  </rv>
  <rv s="3">
    <fb>44991</fb>
    <v>5</v>
  </rv>
  <rv s="3">
    <fb>23.553999999999998</fb>
    <v>6</v>
  </rv>
  <rv s="3">
    <fb>44992</fb>
    <v>5</v>
  </rv>
  <rv s="3">
    <fb>23.288</fb>
    <v>6</v>
  </rv>
  <rv s="3">
    <fb>44993</fb>
    <v>5</v>
  </rv>
  <rv s="3">
    <fb>24.181000000000001</fb>
    <v>6</v>
  </rv>
  <rv s="3">
    <fb>44994</fb>
    <v>5</v>
  </rv>
  <rv s="3">
    <fb>23.436</fb>
    <v>6</v>
  </rv>
  <rv s="3">
    <fb>44995</fb>
    <v>5</v>
  </rv>
  <rv s="3">
    <fb>22.965</fb>
    <v>6</v>
  </rv>
  <rv s="3">
    <fb>44998</fb>
    <v>5</v>
  </rv>
  <rv s="3">
    <fb>22.966000000000001</fb>
    <v>6</v>
  </rv>
  <rv s="3">
    <fb>44999</fb>
    <v>5</v>
  </rv>
  <rv s="3">
    <fb>24.062999999999999</fb>
    <v>6</v>
  </rv>
  <rv s="3">
    <fb>45000</fb>
    <v>5</v>
  </rv>
  <rv s="3">
    <fb>24.228000000000002</fb>
    <v>6</v>
  </rv>
  <rv s="3">
    <fb>45001</fb>
    <v>5</v>
  </rv>
  <rv s="3">
    <fb>25.541</fb>
    <v>6</v>
  </rv>
  <rv s="3">
    <fb>45002</fb>
    <v>5</v>
  </rv>
  <rv s="3">
    <fb>25.725000000000001</fb>
    <v>6</v>
  </rv>
  <rv s="3">
    <fb>45005</fb>
    <v>5</v>
  </rv>
  <rv s="3">
    <fb>25.9</fb>
    <v>6</v>
  </rv>
  <rv s="3">
    <fb>45006</fb>
    <v>5</v>
  </rv>
  <rv s="3">
    <fb>26.199000000000002</fb>
    <v>6</v>
  </rv>
  <rv s="3">
    <fb>45007</fb>
    <v>5</v>
  </rv>
  <rv s="3">
    <fb>26.468</fb>
    <v>6</v>
  </rv>
  <rv s="3">
    <fb>45008</fb>
    <v>5</v>
  </rv>
  <rv s="3">
    <fb>27.190999999999999</fb>
    <v>6</v>
  </rv>
  <rv s="3">
    <fb>45009</fb>
    <v>5</v>
  </rv>
  <rv s="3">
    <fb>26.779</fb>
    <v>6</v>
  </rv>
  <rv s="3">
    <fb>45012</fb>
    <v>5</v>
  </rv>
  <rv s="3">
    <fb>26.530999999999999</fb>
    <v>6</v>
  </rv>
  <rv s="3">
    <fb>45013</fb>
    <v>5</v>
  </rv>
  <rv s="3">
    <fb>26.41</fb>
    <v>6</v>
  </rv>
  <rv s="3">
    <fb>45014</fb>
    <v>5</v>
  </rv>
  <rv s="3">
    <fb>26.984000000000002</fb>
    <v>6</v>
  </rv>
  <rv s="3">
    <fb>45015</fb>
    <v>5</v>
  </rv>
  <rv s="3">
    <fb>27.382999999999999</fb>
    <v>6</v>
  </rv>
  <rv s="3">
    <fb>45016</fb>
    <v>5</v>
  </rv>
  <rv s="3">
    <fb>27.777000000000001</fb>
    <v>6</v>
  </rv>
  <rv s="3">
    <fb>45019</fb>
    <v>5</v>
  </rv>
  <rv s="3">
    <fb>27.965</fb>
    <v>6</v>
  </rv>
  <rv s="3">
    <fb>45020</fb>
    <v>5</v>
  </rv>
  <rv s="3">
    <fb>27.452999999999999</fb>
    <v>6</v>
  </rv>
  <rv s="3">
    <fb>45021</fb>
    <v>5</v>
  </rv>
  <rv s="3">
    <fb>26.881</fb>
    <v>6</v>
  </rv>
  <rv s="3">
    <fb>45022</fb>
    <v>5</v>
  </rv>
  <rv s="3">
    <fb>27.036999999999999</fb>
    <v>6</v>
  </rv>
  <rv s="3">
    <fb>45026</fb>
    <v>5</v>
  </rv>
  <rv s="3">
    <fb>27.579000000000001</fb>
    <v>6</v>
  </rv>
  <rv s="3">
    <fb>45027</fb>
    <v>5</v>
  </rv>
  <rv s="3">
    <fb>27.169</fb>
    <v>6</v>
  </rv>
  <rv s="3">
    <fb>45028</fb>
    <v>5</v>
  </rv>
  <rv s="3">
    <fb>45029</fb>
    <v>5</v>
  </rv>
  <rv s="3">
    <fb>26.463000000000001</fb>
    <v>6</v>
  </rv>
  <rv s="3">
    <fb>45030</fb>
    <v>5</v>
  </rv>
  <rv s="3">
    <fb>26.757999999999999</fb>
    <v>6</v>
  </rv>
  <rv s="3">
    <fb>45033</fb>
    <v>5</v>
  </rv>
  <rv s="3">
    <fb>27.001999999999999</fb>
    <v>6</v>
  </rv>
  <rv s="3">
    <fb>45034</fb>
    <v>5</v>
  </rv>
  <rv s="3">
    <fb>27.667000000000002</fb>
    <v>6</v>
  </rv>
  <rv s="3">
    <fb>45035</fb>
    <v>5</v>
  </rv>
  <rv s="3">
    <fb>27.931000000000001</fb>
    <v>6</v>
  </rv>
  <rv s="3">
    <fb>45036</fb>
    <v>5</v>
  </rv>
  <rv s="3">
    <fb>27.103999999999999</fb>
    <v>6</v>
  </rv>
  <rv s="3">
    <fb>45037</fb>
    <v>5</v>
  </rv>
  <rv s="3">
    <fb>27.119</fb>
    <v>6</v>
  </rv>
  <rv s="3">
    <fb>45040</fb>
    <v>5</v>
  </rv>
  <rv s="3">
    <fb>27.042000000000002</fb>
    <v>6</v>
  </rv>
  <rv s="3">
    <fb>45041</fb>
    <v>5</v>
  </rv>
  <rv s="3">
    <fb>26.241</fb>
    <v>6</v>
  </rv>
  <rv s="3">
    <fb>45042</fb>
    <v>5</v>
  </rv>
  <rv s="3">
    <fb>26.956</fb>
    <v>6</v>
  </rv>
  <rv s="3">
    <fb>45043</fb>
    <v>5</v>
  </rv>
  <rv s="3">
    <fb>27.225999999999999</fb>
    <v>6</v>
  </rv>
  <rv s="3">
    <fb>45044</fb>
    <v>5</v>
  </rv>
  <rv s="3">
    <fb>27.748999999999999</fb>
    <v>6</v>
  </rv>
  <rv s="3">
    <fb>45047</fb>
    <v>5</v>
  </rv>
  <rv s="3">
    <fb>28.91</fb>
    <v>6</v>
  </rv>
  <rv s="3">
    <fb>45048</fb>
    <v>5</v>
  </rv>
  <rv s="3">
    <fb>28.21</fb>
    <v>6</v>
  </rv>
  <rv s="3">
    <fb>45049</fb>
    <v>5</v>
  </rv>
  <rv s="3">
    <fb>27.802</fb>
    <v>6</v>
  </rv>
  <rv s="3">
    <fb>45050</fb>
    <v>5</v>
  </rv>
  <rv s="3">
    <fb>27.562000000000001</fb>
    <v>6</v>
  </rv>
  <rv s="3">
    <fb>45051</fb>
    <v>5</v>
  </rv>
  <rv s="3">
    <fb>28.68</fb>
    <v>6</v>
  </rv>
  <rv s="3">
    <fb>45054</fb>
    <v>5</v>
  </rv>
  <rv s="3">
    <fb>29.151</fb>
    <v>6</v>
  </rv>
  <rv s="3">
    <fb>45055</fb>
    <v>5</v>
  </rv>
  <rv s="3">
    <fb>28.571000000000002</fb>
    <v>6</v>
  </rv>
  <rv s="3">
    <fb>45056</fb>
    <v>5</v>
  </rv>
  <rv s="3">
    <fb>28.885000000000002</fb>
    <v>6</v>
  </rv>
  <rv s="3">
    <fb>45057</fb>
    <v>5</v>
  </rv>
  <rv s="3">
    <fb>28.577999999999999</fb>
    <v>6</v>
  </rv>
  <rv s="3">
    <fb>45058</fb>
    <v>5</v>
  </rv>
  <rv s="3">
    <fb>28.34</fb>
    <v>6</v>
  </rv>
  <rv s="3">
    <fb>45061</fb>
    <v>5</v>
  </rv>
  <rv s="3">
    <fb>28.952999999999999</fb>
    <v>6</v>
  </rv>
  <rv s="3">
    <fb>45062</fb>
    <v>5</v>
  </rv>
  <rv s="3">
    <fb>29.213000000000001</fb>
    <v>6</v>
  </rv>
  <rv s="3">
    <fb>45063</fb>
    <v>5</v>
  </rv>
  <rv s="3">
    <fb>30.178000000000001</fb>
    <v>6</v>
  </rv>
  <rv s="3">
    <fb>45064</fb>
    <v>5</v>
  </rv>
  <rv s="3">
    <fb>31.678000000000001</fb>
    <v>6</v>
  </rv>
  <rv s="3">
    <fb>45065</fb>
    <v>5</v>
  </rv>
  <rv s="3">
    <fb>31.263999999999999</fb>
    <v>6</v>
  </rv>
  <rv s="3">
    <fb>45068</fb>
    <v>5</v>
  </rv>
  <rv s="3">
    <fb>31.175999999999998</fb>
    <v>6</v>
  </rv>
  <rv s="3">
    <fb>45069</fb>
    <v>5</v>
  </rv>
  <rv s="3">
    <fb>30.687999999999999</fb>
    <v>6</v>
  </rv>
  <rv s="3">
    <fb>45070</fb>
    <v>5</v>
  </rv>
  <rv s="3">
    <fb>30.538</fb>
    <v>6</v>
  </rv>
  <rv s="3">
    <fb>45071</fb>
    <v>5</v>
  </rv>
  <rv s="3">
    <fb>37.979999999999997</fb>
    <v>6</v>
  </rv>
  <rv s="3">
    <fb>45072</fb>
    <v>5</v>
  </rv>
  <rv s="3">
    <fb>38.945999999999998</fb>
    <v>6</v>
  </rv>
  <rv s="3">
    <fb>45076</fb>
    <v>5</v>
  </rv>
  <rv s="3">
    <fb>40.110999999999997</fb>
    <v>6</v>
  </rv>
  <rv s="3">
    <fb>45077</fb>
    <v>5</v>
  </rv>
  <rv s="3">
    <fb>37.834000000000003</fb>
    <v>6</v>
  </rv>
  <rv s="3">
    <fb>45078</fb>
    <v>5</v>
  </rv>
  <rv s="3">
    <fb>39.770000000000003</fb>
    <v>6</v>
  </rv>
  <rv s="3">
    <fb>45079</fb>
    <v>5</v>
  </rv>
  <rv s="3">
    <fb>39.326999999999998</fb>
    <v>6</v>
  </rv>
  <rv s="3">
    <fb>45082</fb>
    <v>5</v>
  </rv>
  <rv s="3">
    <fb>39.170999999999999</fb>
    <v>6</v>
  </rv>
  <rv s="3">
    <fb>45083</fb>
    <v>5</v>
  </rv>
  <rv s="3">
    <fb>38.654000000000003</fb>
    <v>6</v>
  </rv>
  <rv s="3">
    <fb>45084</fb>
    <v>5</v>
  </rv>
  <rv s="3">
    <fb>37.475000000000001</fb>
    <v>6</v>
  </rv>
  <rv s="3">
    <fb>45085</fb>
    <v>5</v>
  </rv>
  <rv s="3">
    <fb>38.51</fb>
    <v>6</v>
  </rv>
  <rv s="3">
    <fb>45086</fb>
    <v>5</v>
  </rv>
  <rv s="3">
    <fb>38.770000000000003</fb>
    <v>6</v>
  </rv>
  <rv s="3">
    <fb>45089</fb>
    <v>5</v>
  </rv>
  <rv s="3">
    <fb>39.481999999999999</fb>
    <v>6</v>
  </rv>
  <rv s="3">
    <fb>45090</fb>
    <v>5</v>
  </rv>
  <rv s="3">
    <fb>41.021999999999998</fb>
    <v>6</v>
  </rv>
  <rv s="3">
    <fb>45091</fb>
    <v>5</v>
  </rv>
  <rv s="3">
    <fb>42.997</fb>
    <v>6</v>
  </rv>
  <rv s="3">
    <fb>45092</fb>
    <v>5</v>
  </rv>
  <rv s="3">
    <fb>42.652999999999999</fb>
    <v>6</v>
  </rv>
  <rv s="3">
    <fb>45093</fb>
    <v>5</v>
  </rv>
  <rv s="3">
    <fb>42.692</fb>
    <v>6</v>
  </rv>
  <rv s="3">
    <fb>45097</fb>
    <v>5</v>
  </rv>
  <rv s="3">
    <fb>43.808</fb>
    <v>6</v>
  </rv>
  <rv s="3">
    <fb>45098</fb>
    <v>5</v>
  </rv>
  <rv s="3">
    <fb>43.045000000000002</fb>
    <v>6</v>
  </rv>
  <rv s="3">
    <fb>45099</fb>
    <v>5</v>
  </rv>
  <rv s="3">
    <fb>43.024999999999999</fb>
    <v>6</v>
  </rv>
  <rv s="3">
    <fb>45100</fb>
    <v>5</v>
  </rv>
  <rv s="3">
    <fb>42.209000000000003</fb>
    <v>6</v>
  </rv>
  <rv s="3">
    <fb>45103</fb>
    <v>5</v>
  </rv>
  <rv s="3">
    <fb>40.631999999999998</fb>
    <v>6</v>
  </rv>
  <rv s="3">
    <fb>45104</fb>
    <v>5</v>
  </rv>
  <rv s="3">
    <fb>41.875999999999998</fb>
    <v>6</v>
  </rv>
  <rv s="3">
    <fb>45105</fb>
    <v>5</v>
  </rv>
  <rv s="3">
    <fb>41.116999999999997</fb>
    <v>6</v>
  </rv>
  <rv s="3">
    <fb>45106</fb>
    <v>5</v>
  </rv>
  <rv s="3">
    <fb>40.822000000000003</fb>
    <v>6</v>
  </rv>
  <rv s="3">
    <fb>45107</fb>
    <v>5</v>
  </rv>
  <rv s="3">
    <fb>42.302</fb>
    <v>6</v>
  </rv>
  <rv s="3">
    <fb>45110</fb>
    <v>5</v>
  </rv>
  <rv s="3">
    <fb>42.412999999999997</fb>
    <v>6</v>
  </rv>
  <rv s="3">
    <fb>45112</fb>
    <v>5</v>
  </rv>
  <rv s="3">
    <fb>42.317</fb>
    <v>6</v>
  </rv>
  <rv s="3">
    <fb>45113</fb>
    <v>5</v>
  </rv>
  <rv s="3">
    <fb>42.103000000000002</fb>
    <v>6</v>
  </rv>
  <rv s="3">
    <fb>45114</fb>
    <v>5</v>
  </rv>
  <rv s="3">
    <fb>42.503</fb>
    <v>6</v>
  </rv>
  <rv s="3">
    <fb>45117</fb>
    <v>5</v>
  </rv>
  <rv s="3">
    <fb>42.18</fb>
    <v>6</v>
  </rv>
  <rv s="3">
    <fb>45118</fb>
    <v>5</v>
  </rv>
  <rv s="3">
    <fb>42.405000000000001</fb>
    <v>6</v>
  </rv>
  <rv s="3">
    <fb>45119</fb>
    <v>5</v>
  </rv>
  <rv s="3">
    <fb>43.902000000000001</fb>
    <v>6</v>
  </rv>
  <rv s="3">
    <fb>45120</fb>
    <v>5</v>
  </rv>
  <rv s="3">
    <fb>45.976999999999997</fb>
    <v>6</v>
  </rv>
  <rv s="3">
    <fb>45121</fb>
    <v>5</v>
  </rv>
  <rv s="3">
    <fb>45.469000000000001</fb>
    <v>6</v>
  </rv>
  <rv s="3">
    <fb>45124</fb>
    <v>5</v>
  </rv>
  <rv s="3">
    <fb>46.460999999999999</fb>
    <v>6</v>
  </rv>
  <rv s="3">
    <fb>45125</fb>
    <v>5</v>
  </rv>
  <rv s="3">
    <fb>47.494</fb>
    <v>6</v>
  </rv>
  <rv s="3">
    <fb>45126</fb>
    <v>5</v>
  </rv>
  <rv s="3">
    <fb>47.076999999999998</fb>
    <v>6</v>
  </rv>
  <rv s="3">
    <fb>45127</fb>
    <v>5</v>
  </rv>
  <rv s="3">
    <fb>45.52</fb>
    <v>6</v>
  </rv>
  <rv s="3">
    <fb>45128</fb>
    <v>5</v>
  </rv>
  <rv s="3">
    <fb>44.308999999999997</fb>
    <v>6</v>
  </rv>
  <rv s="3">
    <fb>45131</fb>
    <v>5</v>
  </rv>
  <rv s="3">
    <fb>44.612000000000002</fb>
    <v>6</v>
  </rv>
  <rv s="3">
    <fb>45132</fb>
    <v>5</v>
  </rv>
  <rv s="3">
    <fb>45.679000000000002</fb>
    <v>6</v>
  </rv>
  <rv s="3">
    <fb>45133</fb>
    <v>5</v>
  </rv>
  <rv s="3">
    <fb>45.451999999999998</fb>
    <v>6</v>
  </rv>
  <rv s="3">
    <fb>45134</fb>
    <v>5</v>
  </rv>
  <rv s="3">
    <fb>45.9</fb>
    <v>6</v>
  </rv>
  <rv s="3">
    <fb>45135</fb>
    <v>5</v>
  </rv>
  <rv s="3">
    <fb>46.75</fb>
    <v>6</v>
  </rv>
  <rv s="3">
    <fb>45138</fb>
    <v>5</v>
  </rv>
  <rv s="3">
    <fb>46.728999999999999</fb>
    <v>6</v>
  </rv>
  <rv s="3">
    <fb>45139</fb>
    <v>5</v>
  </rv>
  <rv s="3">
    <fb>46.506999999999998</fb>
    <v>6</v>
  </rv>
  <rv s="3">
    <fb>45140</fb>
    <v>5</v>
  </rv>
  <rv s="3">
    <fb>44.268999999999998</fb>
    <v>6</v>
  </rv>
  <rv s="3">
    <fb>45141</fb>
    <v>5</v>
  </rv>
  <rv s="3">
    <fb>44.515000000000001</fb>
    <v>6</v>
  </rv>
  <rv s="3">
    <fb>45142</fb>
    <v>5</v>
  </rv>
  <rv s="3">
    <fb>44.68</fb>
    <v>6</v>
  </rv>
  <rv s="3">
    <fb>45145</fb>
    <v>5</v>
  </rv>
  <rv s="3">
    <fb>45.416499999999999</fb>
    <v>6</v>
  </rv>
  <rv s="3">
    <fb>45146</fb>
    <v>5</v>
  </rv>
  <rv s="3">
    <fb>44.664000000000001</fb>
    <v>6</v>
  </rv>
  <rv s="3">
    <fb>45147</fb>
    <v>5</v>
  </rv>
  <rv s="3">
    <fb>42.554000000000002</fb>
    <v>6</v>
  </rv>
  <rv s="3">
    <fb>45148</fb>
    <v>5</v>
  </rv>
  <rv s="3">
    <fb>42.387999999999998</fb>
    <v>6</v>
  </rv>
  <rv s="3">
    <fb>45149</fb>
    <v>5</v>
  </rv>
  <rv s="3">
    <fb>40.854999999999997</fb>
    <v>6</v>
  </rv>
  <rv s="3">
    <fb>45152</fb>
    <v>5</v>
  </rv>
  <rv s="3">
    <fb>43.753</fb>
    <v>6</v>
  </rv>
  <rv s="3">
    <fb>45153</fb>
    <v>5</v>
  </rv>
  <rv s="3">
    <fb>43.94</fb>
    <v>6</v>
  </rv>
  <rv s="3">
    <fb>45154</fb>
    <v>5</v>
  </rv>
  <rv s="3">
    <fb>43.485999999999997</fb>
    <v>6</v>
  </rv>
  <rv s="3">
    <fb>45155</fb>
    <v>5</v>
  </rv>
  <rv s="3">
    <fb>43.343499999999999</fb>
    <v>6</v>
  </rv>
  <rv s="3">
    <fb>45156</fb>
    <v>5</v>
  </rv>
  <rv s="3">
    <fb>43.298999999999999</fb>
    <v>6</v>
  </rv>
  <rv s="3">
    <fb>45159</fb>
    <v>5</v>
  </rv>
  <rv s="3">
    <fb>46.966999999999999</fb>
    <v>6</v>
  </rv>
  <rv s="3">
    <fb>45160</fb>
    <v>5</v>
  </rv>
  <rv s="3">
    <fb>45.667999999999999</fb>
    <v>6</v>
  </rv>
  <rv s="3">
    <fb>45161</fb>
    <v>5</v>
  </rv>
  <rv s="3">
    <fb>47.116</fb>
    <v>6</v>
  </rv>
  <rv s="3">
    <fb>45162</fb>
    <v>5</v>
  </rv>
  <rv s="3">
    <fb>47.162999999999997</fb>
    <v>6</v>
  </rv>
  <rv s="3">
    <fb>45163</fb>
    <v>5</v>
  </rv>
  <rv s="3">
    <fb>46.018000000000001</fb>
    <v>6</v>
  </rv>
  <rv s="3">
    <fb>45166</fb>
    <v>5</v>
  </rv>
  <rv s="3">
    <fb>46.835000000000001</fb>
    <v>6</v>
  </rv>
  <rv s="3">
    <fb>45167</fb>
    <v>5</v>
  </rv>
  <rv s="3">
    <fb>48.783999999999999</fb>
    <v>6</v>
  </rv>
  <rv s="3">
    <fb>45168</fb>
    <v>5</v>
  </rv>
  <rv s="3">
    <fb>49.264000000000003</fb>
    <v>6</v>
  </rv>
  <rv s="3">
    <fb>45169</fb>
    <v>5</v>
  </rv>
  <rv s="3">
    <fb>49.354999999999997</fb>
    <v>6</v>
  </rv>
  <rv s="3">
    <fb>45170</fb>
    <v>5</v>
  </rv>
  <rv s="3">
    <fb>48.509</fb>
    <v>6</v>
  </rv>
  <rv s="3">
    <fb>45174</fb>
    <v>5</v>
  </rv>
  <rv s="3">
    <fb>48.548000000000002</fb>
    <v>6</v>
  </rv>
  <rv s="3">
    <fb>45175</fb>
    <v>5</v>
  </rv>
  <rv s="3">
    <fb>47.061</fb>
    <v>6</v>
  </rv>
  <rv s="3">
    <fb>45176</fb>
    <v>5</v>
  </rv>
  <rv s="3">
    <fb>46.241</fb>
    <v>6</v>
  </rv>
  <rv s="3">
    <fb>45177</fb>
    <v>5</v>
  </rv>
  <rv s="3">
    <fb>45.572000000000003</fb>
    <v>6</v>
  </rv>
  <rv s="3">
    <fb>45180</fb>
    <v>5</v>
  </rv>
  <rv s="3">
    <fb>45.177999999999997</fb>
    <v>6</v>
  </rv>
  <rv s="3">
    <fb>45181</fb>
    <v>5</v>
  </rv>
  <rv s="3">
    <fb>44.87</fb>
    <v>6</v>
  </rv>
  <rv s="3">
    <fb>45182</fb>
    <v>5</v>
  </rv>
  <rv s="3">
    <fb>45.484999999999999</fb>
    <v>6</v>
  </rv>
  <rv s="3">
    <fb>45183</fb>
    <v>5</v>
  </rv>
  <rv s="3">
    <fb>45.581000000000003</fb>
    <v>6</v>
  </rv>
  <rv s="3">
    <fb>45184</fb>
    <v>5</v>
  </rv>
  <rv s="3">
    <fb>43.9</fb>
    <v>6</v>
  </rv>
  <rv s="3">
    <fb>45187</fb>
    <v>5</v>
  </rv>
  <rv s="3">
    <fb>43.966000000000001</fb>
    <v>6</v>
  </rv>
  <rv s="3">
    <fb>45188</fb>
    <v>5</v>
  </rv>
  <rv s="3">
    <fb>43.52</fb>
    <v>6</v>
  </rv>
  <rv s="3">
    <fb>45189</fb>
    <v>5</v>
  </rv>
  <rv s="3">
    <fb>42.238999999999997</fb>
    <v>6</v>
  </rv>
  <rv s="3">
    <fb>45190</fb>
    <v>5</v>
  </rv>
  <rv s="3">
    <fb>41.017000000000003</fb>
    <v>6</v>
  </rv>
  <rv s="3">
    <fb>45191</fb>
    <v>5</v>
  </rv>
  <rv s="3">
    <fb>41.61</fb>
    <v>6</v>
  </rv>
  <rv s="3">
    <fb>45194</fb>
    <v>5</v>
  </rv>
  <rv s="3">
    <fb>42.222000000000001</fb>
    <v>6</v>
  </rv>
  <rv s="3">
    <fb>45195</fb>
    <v>5</v>
  </rv>
  <rv s="3">
    <fb>41.911000000000001</fb>
    <v>6</v>
  </rv>
  <rv s="3">
    <fb>45196</fb>
    <v>5</v>
  </rv>
  <rv s="3">
    <fb>42.468000000000004</fb>
    <v>6</v>
  </rv>
  <rv s="3">
    <fb>45197</fb>
    <v>5</v>
  </rv>
  <rv s="3">
    <fb>43.088999999999999</fb>
    <v>6</v>
  </rv>
  <rv s="3">
    <fb>45198</fb>
    <v>5</v>
  </rv>
  <rv s="3">
    <fb>43.499000000000002</fb>
    <v>6</v>
  </rv>
  <rv s="3">
    <fb>45201</fb>
    <v>5</v>
  </rv>
  <rv s="3">
    <fb>44.781999999999996</fb>
    <v>6</v>
  </rv>
  <rv s="3">
    <fb>45202</fb>
    <v>5</v>
  </rv>
  <rv s="3">
    <fb>43.517000000000003</fb>
    <v>6</v>
  </rv>
  <rv s="3">
    <fb>45203</fb>
    <v>5</v>
  </rv>
  <rv s="3">
    <fb>44.040999999999997</fb>
    <v>6</v>
  </rv>
  <rv s="3">
    <fb>45204</fb>
    <v>5</v>
  </rv>
  <rv s="3">
    <fb>44.688000000000002</fb>
    <v>6</v>
  </rv>
  <rv s="3">
    <fb>45205</fb>
    <v>5</v>
  </rv>
  <rv s="3">
    <fb>45.762</fb>
    <v>6</v>
  </rv>
  <rv s="3">
    <fb>45208</fb>
    <v>5</v>
  </rv>
  <rv s="3">
    <fb>45.273000000000003</fb>
    <v>6</v>
  </rv>
  <rv s="3">
    <fb>45209</fb>
    <v>5</v>
  </rv>
  <rv s="3">
    <fb>45.798000000000002</fb>
    <v>6</v>
  </rv>
  <rv s="3">
    <fb>45210</fb>
    <v>5</v>
  </rv>
  <rv s="3">
    <fb>46.805999999999997</fb>
    <v>6</v>
  </rv>
  <rv s="3">
    <fb>45211</fb>
    <v>5</v>
  </rv>
  <rv s="3">
    <fb>46.945</fb>
    <v>6</v>
  </rv>
  <rv s="3">
    <fb>45212</fb>
    <v>5</v>
  </rv>
  <rv s="3">
    <fb>45.460999999999999</fb>
    <v>6</v>
  </rv>
  <rv s="3">
    <fb>45215</fb>
    <v>5</v>
  </rv>
  <rv s="3">
    <fb>46.094999999999999</fb>
    <v>6</v>
  </rv>
  <rv s="3">
    <fb>45216</fb>
    <v>5</v>
  </rv>
  <rv s="3">
    <fb>43.938000000000002</fb>
    <v>6</v>
  </rv>
  <rv s="3">
    <fb>45217</fb>
    <v>5</v>
  </rv>
  <rv s="3">
    <fb>42.195999999999998</fb>
    <v>6</v>
  </rv>
  <rv s="3">
    <fb>45218</fb>
    <v>5</v>
  </rv>
  <rv s="3">
    <fb>42.100999999999999</fb>
    <v>6</v>
  </rv>
  <rv s="3">
    <fb>45219</fb>
    <v>5</v>
  </rv>
  <rv s="3">
    <fb>41.387</fb>
    <v>6</v>
  </rv>
  <rv s="3">
    <fb>45222</fb>
    <v>5</v>
  </rv>
  <rv s="3">
    <fb>42.975000000000001</fb>
    <v>6</v>
  </rv>
  <rv s="3">
    <fb>45223</fb>
    <v>5</v>
  </rv>
  <rv s="3">
    <fb>43.662999999999997</fb>
    <v>6</v>
  </rv>
  <rv s="3">
    <fb>45224</fb>
    <v>5</v>
  </rv>
  <rv s="3">
    <fb>41.779000000000003</fb>
    <v>6</v>
  </rv>
  <rv s="3">
    <fb>45225</fb>
    <v>5</v>
  </rv>
  <rv s="3">
    <fb>40.326000000000001</fb>
    <v>6</v>
  </rv>
  <rv s="3">
    <fb>45226</fb>
    <v>5</v>
  </rv>
  <rv s="3">
    <fb>40.5</fb>
    <v>6</v>
  </rv>
  <rv s="3">
    <fb>45229</fb>
    <v>5</v>
  </rv>
  <rv s="3">
    <fb>41.161000000000001</fb>
    <v>6</v>
  </rv>
  <rv s="3">
    <fb>45230</fb>
    <v>5</v>
  </rv>
  <rv s="3">
    <fb>40.78</fb>
    <v>6</v>
  </rv>
  <rv s="3">
    <fb>45231</fb>
    <v>5</v>
  </rv>
  <rv s="3">
    <fb>42.325000000000003</fb>
    <v>6</v>
  </rv>
  <rv s="3">
    <fb>45232</fb>
    <v>5</v>
  </rv>
  <rv s="3">
    <fb>43.506</fb>
    <v>6</v>
  </rv>
  <rv s="3">
    <fb>45233</fb>
    <v>5</v>
  </rv>
  <rv s="3">
    <fb>45.005000000000003</fb>
    <v>6</v>
  </rv>
  <rv s="3">
    <fb>45236</fb>
    <v>5</v>
  </rv>
  <rv s="3">
    <fb>45.750999999999998</fb>
    <v>6</v>
  </rv>
  <rv s="3">
    <fb>45237</fb>
    <v>5</v>
  </rv>
  <rv s="3">
    <fb>45.954999999999998</fb>
    <v>6</v>
  </rv>
  <rv s="3">
    <fb>45238</fb>
    <v>5</v>
  </rv>
  <rv s="3">
    <fb>46.573999999999998</fb>
    <v>6</v>
  </rv>
  <rv s="3">
    <fb>45239</fb>
    <v>5</v>
  </rv>
  <rv s="3">
    <fb>46.95</fb>
    <v>6</v>
  </rv>
  <rv s="3">
    <fb>45240</fb>
    <v>5</v>
  </rv>
  <rv s="3">
    <fb>48.335000000000001</fb>
    <v>6</v>
  </rv>
  <rv s="3">
    <fb>45243</fb>
    <v>5</v>
  </rv>
  <rv s="3">
    <fb>48.62</fb>
    <v>6</v>
  </rv>
  <rv s="3">
    <fb>45244</fb>
    <v>5</v>
  </rv>
  <rv s="3">
    <fb>49.655999999999999</fb>
    <v>6</v>
  </rv>
  <rv s="3">
    <fb>45245</fb>
    <v>5</v>
  </rv>
  <rv s="3">
    <fb>48.887999999999998</fb>
    <v>6</v>
  </rv>
  <rv s="3">
    <fb>45246</fb>
    <v>5</v>
  </rv>
  <rv s="3">
    <fb>49.48</fb>
    <v>6</v>
  </rv>
  <rv s="3">
    <fb>45247</fb>
    <v>5</v>
  </rv>
  <rv s="3">
    <fb>49.298000000000002</fb>
    <v>6</v>
  </rv>
  <rv s="3">
    <fb>45250</fb>
    <v>5</v>
  </rv>
  <rv s="3">
    <fb>50.408999999999999</fb>
    <v>6</v>
  </rv>
  <rv s="3">
    <fb>45251</fb>
    <v>5</v>
  </rv>
  <rv s="3">
    <fb>49.944000000000003</fb>
    <v>6</v>
  </rv>
  <rv s="3">
    <fb>45252</fb>
    <v>5</v>
  </rv>
  <rv s="3">
    <fb>48.716000000000001</fb>
    <v>6</v>
  </rv>
  <rv s="3">
    <fb>45254</fb>
    <v>5</v>
  </rv>
  <rv s="3">
    <fb>47.776000000000003</fb>
    <v>6</v>
  </rv>
  <rv s="3">
    <fb>45257</fb>
    <v>5</v>
  </rv>
  <rv s="3">
    <fb>48.241999999999997</fb>
    <v>6</v>
  </rv>
  <rv s="3">
    <fb>45258</fb>
    <v>5</v>
  </rv>
  <rv s="3">
    <fb>47.820999999999998</fb>
    <v>6</v>
  </rv>
  <rv s="3">
    <fb>45259</fb>
    <v>5</v>
  </rv>
  <rv s="3">
    <fb>48.14</fb>
    <v>6</v>
  </rv>
  <rv s="3">
    <fb>45260</fb>
    <v>5</v>
  </rv>
  <rv s="3">
    <fb>46.77</fb>
    <v>6</v>
  </rv>
  <rv s="3">
    <fb>45261</fb>
    <v>5</v>
  </rv>
  <rv s="3">
    <fb>46.765000000000001</fb>
    <v>6</v>
  </rv>
  <rv s="3">
    <fb>45264</fb>
    <v>5</v>
  </rv>
  <rv s="3">
    <fb>45.51</fb>
    <v>6</v>
  </rv>
  <rv s="3">
    <fb>45265</fb>
    <v>5</v>
  </rv>
  <rv s="3">
    <fb>46.566000000000003</fb>
    <v>6</v>
  </rv>
  <rv s="3">
    <fb>45266</fb>
    <v>5</v>
  </rv>
  <rv s="3">
    <fb>45.503</fb>
    <v>6</v>
  </rv>
  <rv s="3">
    <fb>45267</fb>
    <v>5</v>
  </rv>
  <rv s="3">
    <fb>46.595999999999997</fb>
    <v>6</v>
  </rv>
  <rv s="3">
    <fb>45268</fb>
    <v>5</v>
  </rv>
  <rv s="3">
    <fb>47.506</fb>
    <v>6</v>
  </rv>
  <rv s="3">
    <fb>45271</fb>
    <v>5</v>
  </rv>
  <rv s="3">
    <fb>46.627000000000002</fb>
    <v>6</v>
  </rv>
  <rv s="3">
    <fb>45272</fb>
    <v>5</v>
  </rv>
  <rv s="3">
    <fb>47.656999999999996</fb>
    <v>6</v>
  </rv>
  <rv s="3">
    <fb>45273</fb>
    <v>5</v>
  </rv>
  <rv s="3">
    <fb>48.088000000000001</fb>
    <v>6</v>
  </rv>
  <rv s="3">
    <fb>45274</fb>
    <v>5</v>
  </rv>
  <rv s="3">
    <fb>48.35</fb>
    <v>6</v>
  </rv>
  <rv s="3">
    <fb>45275</fb>
    <v>5</v>
  </rv>
  <rv s="3">
    <fb>48.89</fb>
    <v>6</v>
  </rv>
  <rv s="3">
    <fb>45278</fb>
    <v>5</v>
  </rv>
  <rv s="3">
    <fb>50.076999999999998</fb>
    <v>6</v>
  </rv>
  <rv s="3">
    <fb>45279</fb>
    <v>5</v>
  </rv>
  <rv s="3">
    <fb>49.603999999999999</fb>
    <v>6</v>
  </rv>
  <rv s="3">
    <fb>45280</fb>
    <v>5</v>
  </rv>
  <rv s="3">
    <fb>48.110999999999997</fb>
    <v>6</v>
  </rv>
  <rv s="3">
    <fb>45281</fb>
    <v>5</v>
  </rv>
  <rv s="3">
    <fb>48.99</fb>
    <v>6</v>
  </rv>
  <rv s="3">
    <fb>45282</fb>
    <v>5</v>
  </rv>
  <rv s="3">
    <fb>48.83</fb>
    <v>6</v>
  </rv>
  <rv s="3">
    <fb>45286</fb>
    <v>5</v>
  </rv>
  <rv s="3">
    <fb>49.279000000000003</fb>
    <v>6</v>
  </rv>
  <rv s="3">
    <fb>45287</fb>
    <v>5</v>
  </rv>
  <rv s="3">
    <fb>49.417000000000002</fb>
    <v>6</v>
  </rv>
  <rv s="3">
    <fb>45288</fb>
    <v>5</v>
  </rv>
  <rv s="3">
    <fb>49.521999999999998</fb>
    <v>6</v>
  </rv>
  <rv s="3">
    <fb>45289</fb>
    <v>5</v>
  </rv>
  <rv s="3">
    <fb>45293</fb>
    <v>5</v>
  </rv>
  <rv s="3">
    <fb>48.167999999999999</fb>
    <v>6</v>
  </rv>
  <rv s="3">
    <fb>45294</fb>
    <v>5</v>
  </rv>
  <rv s="3">
    <fb>47.569000000000003</fb>
    <v>6</v>
  </rv>
  <rv s="3">
    <fb>45295</fb>
    <v>5</v>
  </rv>
  <rv s="3">
    <fb>47.997999999999998</fb>
    <v>6</v>
  </rv>
  <rv s="3">
    <fb>45296</fb>
    <v>5</v>
  </rv>
  <rv s="3">
    <fb>49.097000000000001</fb>
    <v>6</v>
  </rv>
  <rv s="3">
    <fb>45299</fb>
    <v>5</v>
  </rv>
  <rv s="3">
    <fb>52.253</fb>
    <v>6</v>
  </rv>
  <rv s="3">
    <fb>45300</fb>
    <v>5</v>
  </rv>
  <rv s="3">
    <fb>53.14</fb>
    <v>6</v>
  </rv>
  <rv s="3">
    <fb>45301</fb>
    <v>5</v>
  </rv>
  <rv s="3">
    <fb>54.35</fb>
    <v>6</v>
  </rv>
  <rv s="3">
    <fb>45302</fb>
    <v>5</v>
  </rv>
  <rv s="3">
    <fb>54.822000000000003</fb>
    <v>6</v>
  </rv>
  <rv s="3">
    <fb>45303</fb>
    <v>5</v>
  </rv>
  <rv s="3">
    <fb>54.71</fb>
    <v>6</v>
  </rv>
  <rv s="3">
    <fb>45307</fb>
    <v>5</v>
  </rv>
  <rv s="3">
    <fb>56.381999999999998</fb>
    <v>6</v>
  </rv>
  <rv s="3">
    <fb>45308</fb>
    <v>5</v>
  </rv>
  <rv s="3">
    <fb>56.052999999999997</fb>
    <v>6</v>
  </rv>
  <rv s="3">
    <fb>45309</fb>
    <v>5</v>
  </rv>
  <rv s="3">
    <fb>57.106999999999999</fb>
    <v>6</v>
  </rv>
  <rv s="3">
    <fb>45310</fb>
    <v>5</v>
  </rv>
  <rv s="3">
    <fb>59.491</fb>
    <v>6</v>
  </rv>
  <rv s="3">
    <fb>45313</fb>
    <v>5</v>
  </rv>
  <rv s="3">
    <fb>59.654000000000003</fb>
    <v>6</v>
  </rv>
  <rv s="3">
    <fb>45314</fb>
    <v>5</v>
  </rv>
  <rv s="3">
    <fb>59.872999999999998</fb>
    <v>6</v>
  </rv>
  <rv s="3">
    <fb>45315</fb>
    <v>5</v>
  </rv>
  <rv s="3">
    <fb>61.362000000000002</fb>
    <v>6</v>
  </rv>
  <rv s="3">
    <fb>45316</fb>
    <v>5</v>
  </rv>
  <rv s="3">
    <fb>61.616999999999997</fb>
    <v>6</v>
  </rv>
  <rv s="3">
    <fb>45317</fb>
    <v>5</v>
  </rv>
  <rv s="3">
    <fb>61.030999999999999</fb>
    <v>6</v>
  </rv>
  <rv s="3">
    <fb>45320</fb>
    <v>5</v>
  </rv>
  <rv s="3">
    <fb>62.465000000000003</fb>
    <v>6</v>
  </rv>
  <rv s="3">
    <fb>45321</fb>
    <v>5</v>
  </rv>
  <rv s="3">
    <fb>62.774000000000001</fb>
    <v>6</v>
  </rv>
  <rv s="3">
    <fb>45322</fb>
    <v>5</v>
  </rv>
  <rv s="3">
    <fb>61.527000000000001</fb>
    <v>6</v>
  </rv>
  <rv s="3">
    <fb>45323</fb>
    <v>5</v>
  </rv>
  <rv s="3">
    <fb>63.027000000000001</fb>
    <v>6</v>
  </rv>
  <rv s="3">
    <fb>45324</fb>
    <v>5</v>
  </rv>
  <rv s="3">
    <fb>66.16</fb>
    <v>6</v>
  </rv>
  <rv s="3">
    <fb>45327</fb>
    <v>5</v>
  </rv>
  <rv s="3">
    <fb>69.331999999999994</fb>
    <v>6</v>
  </rv>
  <rv s="3">
    <fb>45328</fb>
    <v>5</v>
  </rv>
  <rv s="3">
    <fb>68.222999999999999</fb>
    <v>6</v>
  </rv>
  <rv s="3">
    <fb>45329</fb>
    <v>5</v>
  </rv>
  <rv s="3">
    <fb>70.099000000000004</fb>
    <v>6</v>
  </rv>
  <rv s="3">
    <fb>45330</fb>
    <v>5</v>
  </rv>
  <rv s="3">
    <fb>69.641000000000005</fb>
    <v>6</v>
  </rv>
  <rv s="3">
    <fb>45331</fb>
    <v>5</v>
  </rv>
  <rv s="3">
    <fb>72.132999999999996</fb>
    <v>6</v>
  </rv>
  <rv s="3">
    <fb>45334</fb>
    <v>5</v>
  </rv>
  <rv s="3">
    <fb>72.248000000000005</fb>
    <v>6</v>
  </rv>
  <rv s="3">
    <fb>45335</fb>
    <v>5</v>
  </rv>
  <rv s="3">
    <fb>72.128</fb>
    <v>6</v>
  </rv>
  <rv s="3">
    <fb>45336</fb>
    <v>5</v>
  </rv>
  <rv s="3">
    <fb>73.900000000000006</fb>
    <v>6</v>
  </rv>
  <rv s="3">
    <fb>45337</fb>
    <v>5</v>
  </rv>
  <rv s="3">
    <fb>72.658000000000001</fb>
    <v>6</v>
  </rv>
  <rv s="3">
    <fb>45338</fb>
    <v>5</v>
  </rv>
  <rv s="3">
    <fb>72.613</fb>
    <v>6</v>
  </rv>
  <rv s="3">
    <fb>45342</fb>
    <v>5</v>
  </rv>
  <rv s="3">
    <fb>69.451999999999998</fb>
    <v>6</v>
  </rv>
  <rv s="3">
    <fb>45343</fb>
    <v>5</v>
  </rv>
  <rv s="3">
    <fb>67.471999999999994</fb>
    <v>6</v>
  </rv>
  <rv s="3">
    <fb>45344</fb>
    <v>5</v>
  </rv>
  <rv s="3">
    <fb>78.537999999999997</fb>
    <v>6</v>
  </rv>
  <rv s="3">
    <fb>45345</fb>
    <v>5</v>
  </rv>
  <rv s="3">
    <fb>78.816999999999993</fb>
    <v>6</v>
  </rv>
  <rv s="3">
    <fb>45348</fb>
    <v>5</v>
  </rv>
  <rv s="3">
    <fb>79.091999999999999</fb>
    <v>6</v>
  </rv>
  <rv s="3">
    <fb>45349</fb>
    <v>5</v>
  </rv>
  <rv s="3">
    <fb>78.700999999999993</fb>
    <v>6</v>
  </rv>
  <rv s="3">
    <fb>45350</fb>
    <v>5</v>
  </rv>
  <rv s="3">
    <fb>77.662999999999997</fb>
    <v>6</v>
  </rv>
  <rv s="3">
    <fb>45351</fb>
    <v>5</v>
  </rv>
  <rv s="3">
    <fb>79.111999999999995</fb>
    <v>6</v>
  </rv>
  <rv s="3">
    <fb>45352</fb>
    <v>5</v>
  </rv>
  <rv s="3">
    <fb>82.278999999999996</fb>
    <v>6</v>
  </rv>
  <rv s="3">
    <fb>45355</fb>
    <v>5</v>
  </rv>
  <rv s="3">
    <fb>85.236999999999995</fb>
    <v>6</v>
  </rv>
  <rv s="3">
    <fb>45356</fb>
    <v>5</v>
  </rv>
  <rv s="3">
    <fb>85.963999999999999</fb>
    <v>6</v>
  </rv>
  <rv s="3">
    <fb>45357</fb>
    <v>5</v>
  </rv>
  <rv s="3">
    <fb>88.7</fb>
    <v>6</v>
  </rv>
  <rv s="3">
    <fb>45358</fb>
    <v>5</v>
  </rv>
  <rv s="3">
    <fb>92.668999999999997</fb>
    <v>6</v>
  </rv>
  <rv s="3">
    <fb>45359</fb>
    <v>5</v>
  </rv>
  <rv s="3">
    <fb>87.528000000000006</fb>
    <v>6</v>
  </rv>
  <rv s="3">
    <fb>45362</fb>
    <v>5</v>
  </rv>
  <rv s="3">
    <fb>85.774000000000001</fb>
    <v>6</v>
  </rv>
  <rv s="3">
    <fb>45363</fb>
    <v>5</v>
  </rv>
  <rv s="3">
    <fb>91.912999999999997</fb>
    <v>6</v>
  </rv>
  <rv s="3">
    <fb>45364</fb>
    <v>5</v>
  </rv>
  <rv s="3">
    <fb>90.888000000000005</fb>
    <v>6</v>
  </rv>
  <rv s="3">
    <fb>45365</fb>
    <v>5</v>
  </rv>
  <rv s="3">
    <fb>87.944000000000003</fb>
    <v>6</v>
  </rv>
  <rv s="3">
    <fb>45366</fb>
    <v>5</v>
  </rv>
  <rv s="3">
    <fb>87.836500000000001</fb>
    <v>6</v>
  </rv>
  <rv s="3">
    <fb>45369</fb>
    <v>5</v>
  </rv>
  <rv s="3">
    <fb>88.454999999999998</fb>
    <v>6</v>
  </rv>
  <rv s="3">
    <fb>45370</fb>
    <v>5</v>
  </rv>
  <rv s="3">
    <fb>89.397999999999996</fb>
    <v>6</v>
  </rv>
  <rv s="3">
    <fb>45371</fb>
    <v>5</v>
  </rv>
  <rv s="3">
    <fb>90.372</fb>
    <v>6</v>
  </rv>
  <rv s="3">
    <fb>45372</fb>
    <v>5</v>
  </rv>
  <rv s="3">
    <fb>91.435000000000002</fb>
    <v>6</v>
  </rv>
  <rv s="3">
    <fb>45373</fb>
    <v>5</v>
  </rv>
  <rv s="3">
    <fb>94.289000000000001</fb>
    <v>6</v>
  </rv>
  <rv s="3">
    <fb>45376</fb>
    <v>5</v>
  </rv>
  <rv s="3">
    <fb>95.001999999999995</fb>
    <v>6</v>
  </rv>
  <rv s="3">
    <fb>45377</fb>
    <v>5</v>
  </rv>
  <rv s="3">
    <fb>92.561000000000007</fb>
    <v>6</v>
  </rv>
  <rv s="3">
    <fb>45378</fb>
    <v>5</v>
  </rv>
  <rv s="3">
    <fb>90.25</fb>
    <v>6</v>
  </rv>
  <rv s="3">
    <fb>45379</fb>
    <v>5</v>
  </rv>
  <rv s="3">
    <fb>90.355999999999995</fb>
    <v>6</v>
  </rv>
  <rv s="3">
    <fb>45383</fb>
    <v>5</v>
  </rv>
  <rv s="3">
    <fb>90.363</fb>
    <v>6</v>
  </rv>
  <rv s="3">
    <fb>45384</fb>
    <v>5</v>
  </rv>
  <rv s="3">
    <fb>89.451999999999998</fb>
    <v>6</v>
  </rv>
  <rv s="3">
    <fb>45385</fb>
    <v>5</v>
  </rv>
  <rv s="3">
    <fb>88.963999999999999</fb>
    <v>6</v>
  </rv>
  <rv s="3">
    <fb>45386</fb>
    <v>5</v>
  </rv>
  <rv s="3">
    <fb>85.905000000000001</fb>
    <v>6</v>
  </rv>
  <rv s="3">
    <fb>45387</fb>
    <v>5</v>
  </rv>
  <rv s="3">
    <fb>88.007999999999996</fb>
    <v>6</v>
  </rv>
  <rv s="3">
    <fb>45390</fb>
    <v>5</v>
  </rv>
  <rv s="3">
    <fb>87.132999999999996</fb>
    <v>6</v>
  </rv>
  <rv s="3">
    <fb>45391</fb>
    <v>5</v>
  </rv>
  <rv s="3">
    <fb>85.353999999999999</fb>
    <v>6</v>
  </rv>
  <rv s="3">
    <fb>45392</fb>
    <v>5</v>
  </rv>
  <rv s="3">
    <fb>87.039000000000001</fb>
    <v>6</v>
  </rv>
  <rv s="3">
    <fb>45393</fb>
    <v>5</v>
  </rv>
  <rv s="3">
    <fb>90.616</fb>
    <v>6</v>
  </rv>
  <rv s="3">
    <fb>45394</fb>
    <v>5</v>
  </rv>
  <rv s="3">
    <fb>88.186000000000007</fb>
    <v>6</v>
  </rv>
  <rv s="3">
    <fb>45397</fb>
    <v>5</v>
  </rv>
  <rv s="3">
    <fb>86.001000000000005</fb>
    <v>6</v>
  </rv>
  <rv s="3">
    <fb>45398</fb>
    <v>5</v>
  </rv>
  <rv s="3">
    <fb>87.415000000000006</fb>
    <v>6</v>
  </rv>
  <rv s="3">
    <fb>45399</fb>
    <v>5</v>
  </rv>
  <rv s="3">
    <fb>84.034999999999997</fb>
    <v>6</v>
  </rv>
  <rv s="3">
    <fb>45400</fb>
    <v>5</v>
  </rv>
  <rv s="3">
    <fb>84.671000000000006</fb>
    <v>6</v>
  </rv>
  <rv s="3">
    <fb>45401</fb>
    <v>5</v>
  </rv>
  <rv s="3">
    <fb>76.2</fb>
    <v>6</v>
  </rv>
  <rv s="3">
    <fb>45404</fb>
    <v>5</v>
  </rv>
  <rv s="3">
    <fb>79.518000000000001</fb>
    <v>6</v>
  </rv>
  <rv s="3">
    <fb>45405</fb>
    <v>5</v>
  </rv>
  <rv s="3">
    <fb>82.423000000000002</fb>
    <v>6</v>
  </rv>
  <rv s="3">
    <fb>45406</fb>
    <v>5</v>
  </rv>
  <rv s="3">
    <fb>79.677000000000007</fb>
    <v>6</v>
  </rv>
  <rv s="3">
    <fb>45407</fb>
    <v>5</v>
  </rv>
  <rv s="3">
    <fb>82.632000000000005</fb>
    <v>6</v>
  </rv>
  <rv s="3">
    <fb>45408</fb>
    <v>5</v>
  </rv>
  <rv s="3">
    <fb>87.734999999999999</fb>
    <v>6</v>
  </rv>
  <rv s="3">
    <fb>45411</fb>
    <v>5</v>
  </rv>
  <rv s="3">
    <fb>87.757000000000005</fb>
    <v>6</v>
  </rv>
  <rv s="3">
    <fb>45412</fb>
    <v>5</v>
  </rv>
  <rv s="3">
    <fb>86.402000000000001</fb>
    <v>6</v>
  </rv>
  <rv s="3">
    <fb>45413</fb>
    <v>5</v>
  </rv>
  <rv s="3">
    <fb>83.040999999999997</fb>
    <v>6</v>
  </rv>
  <rv s="3">
    <fb>45414</fb>
    <v>5</v>
  </rv>
  <rv s="3">
    <fb>85.816999999999993</fb>
    <v>6</v>
  </rv>
  <rv s="3">
    <fb>45415</fb>
    <v>5</v>
  </rv>
  <rv s="3">
    <fb>88.789000000000001</fb>
    <v>6</v>
  </rv>
  <rv s="3">
    <fb>45418</fb>
    <v>5</v>
  </rv>
  <rv s="3">
    <fb>92.14</fb>
    <v>6</v>
  </rv>
  <rv s="3">
    <fb>45419</fb>
    <v>5</v>
  </rv>
  <rv s="3">
    <fb>90.554000000000002</fb>
    <v>6</v>
  </rv>
  <rv s="3">
    <fb>45420</fb>
    <v>5</v>
  </rv>
  <rv s="3">
    <fb>90.412000000000006</fb>
    <v>6</v>
  </rv>
  <rv s="3">
    <fb>45421</fb>
    <v>5</v>
  </rv>
  <rv s="3">
    <fb>88.747</fb>
    <v>6</v>
  </rv>
  <rv s="3">
    <fb>45422</fb>
    <v>5</v>
  </rv>
  <rv s="3">
    <fb>89.878</fb>
    <v>6</v>
  </rv>
  <rv s="3">
    <fb>45425</fb>
    <v>5</v>
  </rv>
  <rv s="3">
    <fb>90.399000000000001</fb>
    <v>6</v>
  </rv>
  <rv s="3">
    <fb>45426</fb>
    <v>5</v>
  </rv>
  <rv s="3">
    <fb>91.355999999999995</fb>
    <v>6</v>
  </rv>
  <rv s="3">
    <fb>45427</fb>
    <v>5</v>
  </rv>
  <rv s="3">
    <fb>94.63</fb>
    <v>6</v>
  </rv>
  <rv s="3">
    <fb>45428</fb>
    <v>5</v>
  </rv>
  <rv s="3">
    <fb>94.358999999999995</fb>
    <v>6</v>
  </rv>
  <rv s="3">
    <fb>45429</fb>
    <v>5</v>
  </rv>
  <rv s="3">
    <fb>92.478999999999999</fb>
    <v>6</v>
  </rv>
  <rv s="3">
    <fb>45432</fb>
    <v>5</v>
  </rv>
  <rv s="3">
    <fb>94.78</fb>
    <v>6</v>
  </rv>
  <rv s="3">
    <fb>45433</fb>
    <v>5</v>
  </rv>
  <rv s="3">
    <fb>95.385999999999996</fb>
    <v>6</v>
  </rv>
  <rv s="3">
    <fb>45434</fb>
    <v>5</v>
  </rv>
  <rv s="3">
    <fb>94.95</fb>
    <v>6</v>
  </rv>
  <rv s="3">
    <fb>45435</fb>
    <v>5</v>
  </rv>
  <rv s="3">
    <fb>103.79900000000001</fb>
    <v>6</v>
  </rv>
  <rv s="3">
    <fb>45436</fb>
    <v>5</v>
  </rv>
  <rv s="3">
    <fb>106.46899999999999</fb>
    <v>6</v>
  </rv>
  <rv s="3">
    <fb>45440</fb>
    <v>5</v>
  </rv>
  <rv s="3">
    <fb>113.901</fb>
    <v>6</v>
  </rv>
  <rv s="3">
    <fb>45441</fb>
    <v>5</v>
  </rv>
  <rv s="3">
    <fb>114.825</fb>
    <v>6</v>
  </rv>
  <rv s="3">
    <fb>45442</fb>
    <v>5</v>
  </rv>
  <rv s="3">
    <fb>110.5</fb>
    <v>6</v>
  </rv>
  <rv s="3">
    <fb>45443</fb>
    <v>5</v>
  </rv>
  <rv s="3">
    <fb>109.633</fb>
    <v>6</v>
  </rv>
  <rv s="3">
    <fb>45446</fb>
    <v>5</v>
  </rv>
  <rv s="3">
    <fb>115</fb>
    <v>6</v>
  </rv>
  <rv s="3">
    <fb>45447</fb>
    <v>5</v>
  </rv>
  <rv s="3">
    <fb>116.437</fb>
    <v>6</v>
  </rv>
  <rv s="3">
    <fb>45448</fb>
    <v>5</v>
  </rv>
  <rv s="3">
    <fb>122.44</fb>
    <v>6</v>
  </rv>
  <rv s="3">
    <fb>45449</fb>
    <v>5</v>
  </rv>
  <rv s="3">
    <fb>120.998</fb>
    <v>6</v>
  </rv>
  <rv s="3">
    <fb>45450</fb>
    <v>5</v>
  </rv>
  <rv s="3">
    <fb>120.88800000000001</fb>
    <v>6</v>
  </rv>
  <rv s="3">
    <fb>45453</fb>
    <v>5</v>
  </rv>
  <rv s="3">
    <fb>121.79</fb>
    <v>6</v>
  </rv>
  <rv s="3">
    <fb>45454</fb>
    <v>5</v>
  </rv>
  <rv s="3">
    <fb>120.91</fb>
    <v>6</v>
  </rv>
  <rv s="3">
    <fb>45455</fb>
    <v>5</v>
  </rv>
  <rv s="3">
    <fb>125.2</fb>
    <v>6</v>
  </rv>
  <rv s="3">
    <fb>45456</fb>
    <v>5</v>
  </rv>
  <rv s="3">
    <fb>129.61000000000001</fb>
    <v>6</v>
  </rv>
  <rv s="3">
    <fb>45457</fb>
    <v>5</v>
  </rv>
  <rv s="3">
    <fb>131.88</fb>
    <v>6</v>
  </rv>
  <rv s="3">
    <fb>45460</fb>
    <v>5</v>
  </rv>
  <rv s="3">
    <fb>130.97999999999999</fb>
    <v>6</v>
  </rv>
  <rv s="3">
    <fb>45461</fb>
    <v>5</v>
  </rv>
  <rv s="3">
    <fb>135.58000000000001</fb>
    <v>6</v>
  </rv>
  <rv s="3">
    <fb>45463</fb>
    <v>5</v>
  </rv>
  <rv s="3">
    <fb>130.78</fb>
    <v>6</v>
  </rv>
  <rv s="3">
    <fb>45464</fb>
    <v>5</v>
  </rv>
  <rv s="3">
    <fb>126.57</fb>
    <v>6</v>
  </rv>
  <rv s="3">
    <fb>45467</fb>
    <v>5</v>
  </rv>
  <rv s="3">
    <fb>118.11</fb>
    <v>6</v>
  </rv>
  <rv s="3">
    <fb>45468</fb>
    <v>5</v>
  </rv>
  <rv s="3">
    <fb>126.09</fb>
    <v>6</v>
  </rv>
  <rv s="3">
    <fb>45469</fb>
    <v>5</v>
  </rv>
  <rv s="3">
    <fb>126.4</fb>
    <v>6</v>
  </rv>
  <rv s="3">
    <fb>45470</fb>
    <v>5</v>
  </rv>
  <rv s="3">
    <fb>123.99</fb>
    <v>6</v>
  </rv>
  <rv s="3">
    <fb>45471</fb>
    <v>5</v>
  </rv>
  <rv s="3">
    <fb>123.54</fb>
    <v>6</v>
  </rv>
  <rv s="3">
    <fb>45474</fb>
    <v>5</v>
  </rv>
  <rv s="3">
    <fb>124.3</fb>
    <v>6</v>
  </rv>
  <rv s="3">
    <fb>45475</fb>
    <v>5</v>
  </rv>
  <rv s="3">
    <fb>122.67</fb>
    <v>6</v>
  </rv>
  <rv s="3">
    <fb>45476</fb>
    <v>5</v>
  </rv>
  <rv s="3">
    <fb>128.28</fb>
    <v>6</v>
  </rv>
  <rv s="3">
    <fb>45478</fb>
    <v>5</v>
  </rv>
  <rv s="3">
    <fb>125.83</fb>
    <v>6</v>
  </rv>
  <rv s="3">
    <fb>45481</fb>
    <v>5</v>
  </rv>
  <rv s="3">
    <fb>128.19999999999999</fb>
    <v>6</v>
  </rv>
  <rv s="3">
    <fb>45482</fb>
    <v>5</v>
  </rv>
  <rv s="3">
    <fb>131.38</fb>
    <v>6</v>
  </rv>
  <rv s="3">
    <fb>45483</fb>
    <v>5</v>
  </rv>
  <rv s="3">
    <fb>134.91</fb>
    <v>6</v>
  </rv>
  <rv s="3">
    <fb>45484</fb>
    <v>5</v>
  </rv>
  <rv s="3">
    <fb>127.4</fb>
    <v>6</v>
  </rv>
  <rv s="3">
    <fb>45485</fb>
    <v>5</v>
  </rv>
  <rv s="3">
    <fb>129.24</fb>
    <v>6</v>
  </rv>
  <rv s="3">
    <fb>45488</fb>
    <v>5</v>
  </rv>
  <rv s="3">
    <fb>128.44</fb>
    <v>6</v>
  </rv>
  <rv s="3">
    <fb>45489</fb>
    <v>5</v>
  </rv>
  <rv s="3">
    <fb>126.36</fb>
    <v>6</v>
  </rv>
  <rv s="3">
    <fb>45490</fb>
    <v>5</v>
  </rv>
  <rv s="3">
    <fb>117.99</fb>
    <v>6</v>
  </rv>
  <rv s="3">
    <fb>45491</fb>
    <v>5</v>
  </rv>
  <rv s="3">
    <fb>121.09</fb>
    <v>6</v>
  </rv>
  <rv s="3">
    <fb>45492</fb>
    <v>5</v>
  </rv>
  <rv s="3">
    <fb>117.93</fb>
    <v>6</v>
  </rv>
  <rv s="3">
    <fb>45495</fb>
    <v>5</v>
  </rv>
  <rv s="3">
    <fb>45496</fb>
    <v>5</v>
  </rv>
  <rv s="3">
    <fb>122.59</fb>
    <v>6</v>
  </rv>
  <rv s="3">
    <fb>45497</fb>
    <v>5</v>
  </rv>
  <rv s="3">
    <fb>114.25</fb>
    <v>6</v>
  </rv>
  <rv s="3">
    <fb>45498</fb>
    <v>5</v>
  </rv>
  <rv s="3">
    <fb>112.28</fb>
    <v>6</v>
  </rv>
  <rv s="3">
    <fb>45499</fb>
    <v>5</v>
  </rv>
  <rv s="3">
    <fb>113.06</fb>
    <v>6</v>
  </rv>
  <rv s="3">
    <fb>45502</fb>
    <v>5</v>
  </rv>
  <rv s="3">
    <fb>111.59</fb>
    <v>6</v>
  </rv>
  <rv s="3">
    <fb>45503</fb>
    <v>5</v>
  </rv>
  <rv s="3">
    <fb>103.73</fb>
    <v>6</v>
  </rv>
  <rv s="3">
    <fb>45504</fb>
    <v>5</v>
  </rv>
  <rv s="3">
    <fb>117.02</fb>
    <v>6</v>
  </rv>
  <rv s="3">
    <fb>45505</fb>
    <v>5</v>
  </rv>
  <rv s="3">
    <fb>109.21</fb>
    <v>6</v>
  </rv>
  <rv s="3">
    <fb>45506</fb>
    <v>5</v>
  </rv>
  <rv s="3">
    <fb>107.27</fb>
    <v>6</v>
  </rv>
  <rv s="3">
    <fb>45509</fb>
    <v>5</v>
  </rv>
  <rv s="3">
    <fb>100.45</fb>
    <v>6</v>
  </rv>
  <rv s="3">
    <fb>45510</fb>
    <v>5</v>
  </rv>
  <rv s="3">
    <fb>104.25</fb>
    <v>6</v>
  </rv>
  <rv s="3">
    <fb>45511</fb>
    <v>5</v>
  </rv>
  <rv s="3">
    <fb>98.91</fb>
    <v>6</v>
  </rv>
  <rv s="3">
    <fb>45512</fb>
    <v>5</v>
  </rv>
  <rv s="3">
    <fb>104.97</fb>
    <v>6</v>
  </rv>
  <rv s="3">
    <fb>45513</fb>
    <v>5</v>
  </rv>
  <rv s="3">
    <fb>104.75</fb>
    <v>6</v>
  </rv>
  <rv s="3">
    <fb>45516</fb>
    <v>5</v>
  </rv>
  <rv s="3">
    <fb>109.02</fb>
    <v>6</v>
  </rv>
  <rv s="3">
    <fb>45517</fb>
    <v>5</v>
  </rv>
  <rv s="3">
    <fb>116.14</fb>
    <v>6</v>
  </rv>
  <rv s="3">
    <fb>45518</fb>
    <v>5</v>
  </rv>
  <rv s="3">
    <fb>118.08</fb>
    <v>6</v>
  </rv>
  <rv s="3">
    <fb>45519</fb>
    <v>5</v>
  </rv>
  <rv s="3">
    <fb>122.86</fb>
    <v>6</v>
  </rv>
  <rv s="3">
    <fb>45520</fb>
    <v>5</v>
  </rv>
  <rv s="3">
    <fb>124.58</fb>
    <v>6</v>
  </rv>
  <rv s="3">
    <fb>45523</fb>
    <v>5</v>
  </rv>
  <rv s="3">
    <fb>130</fb>
    <v>6</v>
  </rv>
  <rv s="3">
    <fb>45524</fb>
    <v>5</v>
  </rv>
  <rv s="3">
    <fb>127.25</fb>
    <v>6</v>
  </rv>
  <rv s="3">
    <fb>45525</fb>
    <v>5</v>
  </rv>
  <rv s="3">
    <fb>128.5</fb>
    <v>6</v>
  </rv>
  <rv s="3">
    <fb>45526</fb>
    <v>5</v>
  </rv>
  <rv s="3">
    <fb>123.74</fb>
    <v>6</v>
  </rv>
  <rv s="3">
    <fb>45527</fb>
    <v>5</v>
  </rv>
  <rv s="3">
    <fb>129.37</fb>
    <v>6</v>
  </rv>
  <rv s="3">
    <fb>45530</fb>
    <v>5</v>
  </rv>
  <rv s="3">
    <fb>126.46</fb>
    <v>6</v>
  </rv>
  <rv s="3">
    <fb>45531</fb>
    <v>5</v>
  </rv>
  <rv s="3">
    <fb>128.30000000000001</fb>
    <v>6</v>
  </rv>
  <rv s="3">
    <fb>45532</fb>
    <v>5</v>
  </rv>
  <rv s="3">
    <fb>125.61</fb>
    <v>6</v>
  </rv>
  <rv s="3">
    <fb>45533</fb>
    <v>5</v>
  </rv>
  <rv s="3">
    <fb>117.59</fb>
    <v>6</v>
  </rv>
  <rv s="3">
    <fb>45534</fb>
    <v>5</v>
  </rv>
  <rv s="3">
    <fb>119.37</fb>
    <v>6</v>
  </rv>
  <rv s="3">
    <fb>45538</fb>
    <v>5</v>
  </rv>
  <rv s="3">
    <fb>108</fb>
    <v>6</v>
  </rv>
  <rv s="3">
    <fb>45539</fb>
    <v>5</v>
  </rv>
  <rv s="3">
    <fb>106.21</fb>
    <v>6</v>
  </rv>
  <rv s="3">
    <fb>45540</fb>
    <v>5</v>
  </rv>
  <rv s="3">
    <fb>107.21</fb>
    <v>6</v>
  </rv>
  <rv s="3">
    <fb>45541</fb>
    <v>5</v>
  </rv>
  <rv s="3">
    <fb>102.83</fb>
    <v>6</v>
  </rv>
  <rv s="3">
    <fb>45544</fb>
    <v>5</v>
  </rv>
  <rv s="3">
    <fb>106.47</fb>
    <v>6</v>
  </rv>
  <rv s="3">
    <fb>45545</fb>
    <v>5</v>
  </rv>
  <rv s="3">
    <fb>108.1</fb>
    <v>6</v>
  </rv>
  <rv s="3">
    <fb>45546</fb>
    <v>5</v>
  </rv>
  <rv s="3">
    <fb>116.91</fb>
    <v>6</v>
  </rv>
  <rv s="3">
    <fb>45547</fb>
    <v>5</v>
  </rv>
  <rv s="3">
    <fb>119.14</fb>
    <v>6</v>
  </rv>
  <rv s="3">
    <fb>45548</fb>
    <v>5</v>
  </rv>
  <rv s="3">
    <fb>119.1</fb>
    <v>6</v>
  </rv>
  <rv s="3">
    <fb>45551</fb>
    <v>5</v>
  </rv>
  <rv s="3">
    <fb>116.78</fb>
    <v>6</v>
  </rv>
  <rv s="3">
    <fb>45552</fb>
    <v>5</v>
  </rv>
  <rv s="3">
    <fb>115.59</fb>
    <v>6</v>
  </rv>
  <rv s="3">
    <fb>45553</fb>
    <v>5</v>
  </rv>
  <rv s="3">
    <fb>113.37</fb>
    <v>6</v>
  </rv>
  <rv s="3">
    <fb>45554</fb>
    <v>5</v>
  </rv>
  <rv s="3">
    <fb>117.87</fb>
    <v>6</v>
  </rv>
  <rv s="3">
    <fb>45555</fb>
    <v>5</v>
  </rv>
  <rv s="3">
    <fb>116</fb>
    <v>6</v>
  </rv>
  <rv s="3">
    <fb>45558</fb>
    <v>5</v>
  </rv>
  <rv s="3">
    <fb>116.26</fb>
    <v>6</v>
  </rv>
  <rv s="3">
    <fb>45559</fb>
    <v>5</v>
  </rv>
  <rv s="3">
    <fb>120.87</fb>
    <v>6</v>
  </rv>
  <rv s="3">
    <fb>45560</fb>
    <v>5</v>
  </rv>
  <rv s="3">
    <fb>123.51</fb>
    <v>6</v>
  </rv>
  <rv s="3">
    <fb>45561</fb>
    <v>5</v>
  </rv>
  <rv s="3">
    <fb>124.04</fb>
    <v>6</v>
  </rv>
  <rv s="3">
    <fb>45562</fb>
    <v>5</v>
  </rv>
  <rv s="3">
    <fb>121.4</fb>
    <v>6</v>
  </rv>
  <rv s="3">
    <fb>45565</fb>
    <v>5</v>
  </rv>
  <rv s="3">
    <fb>121.44</fb>
    <v>6</v>
  </rv>
  <rv s="3">
    <fb>45566</fb>
    <v>5</v>
  </rv>
  <rv s="3">
    <fb>117</fb>
    <v>6</v>
  </rv>
  <rv s="3">
    <fb>45567</fb>
    <v>5</v>
  </rv>
  <rv s="3">
    <fb>118.85</fb>
    <v>6</v>
  </rv>
  <rv s="3">
    <fb>45568</fb>
    <v>5</v>
  </rv>
  <rv s="3">
    <fb>122.85</fb>
    <v>6</v>
  </rv>
  <rv s="3">
    <fb>45569</fb>
    <v>5</v>
  </rv>
  <rv s="3">
    <fb>124.92</fb>
    <v>6</v>
  </rv>
  <rv s="3">
    <fb>45572</fb>
    <v>5</v>
  </rv>
  <rv s="3">
    <fb>127.72</fb>
    <v>6</v>
  </rv>
  <rv s="3">
    <fb>45573</fb>
    <v>5</v>
  </rv>
  <rv s="3">
    <fb>132.88999999999999</fb>
    <v>6</v>
  </rv>
  <rv s="3">
    <fb>45574</fb>
    <v>5</v>
  </rv>
  <rv s="3">
    <fb>132.65</fb>
    <v>6</v>
  </rv>
  <rv s="3">
    <fb>45575</fb>
    <v>5</v>
  </rv>
  <rv s="3">
    <fb>134.81</fb>
    <v>6</v>
  </rv>
  <rv s="3">
    <fb>45576</fb>
    <v>5</v>
  </rv>
  <rv s="3">
    <fb>134.80000000000001</fb>
    <v>6</v>
  </rv>
  <rv s="3">
    <fb>45579</fb>
    <v>5</v>
  </rv>
  <rv s="3">
    <fb>138.07</fb>
    <v>6</v>
  </rv>
  <rv s="3">
    <fb>45580</fb>
    <v>5</v>
  </rv>
  <rv s="3">
    <fb>131.6</fb>
    <v>6</v>
  </rv>
  <rv s="3">
    <fb>45581</fb>
    <v>5</v>
  </rv>
  <rv s="3">
    <fb>135.72</fb>
    <v>6</v>
  </rv>
  <rv s="3">
    <fb>45582</fb>
    <v>5</v>
  </rv>
  <rv s="3">
    <fb>136.93</fb>
    <v>6</v>
  </rv>
  <rv s="3">
    <fb>45583</fb>
    <v>5</v>
  </rv>
  <rv s="3">
    <fb>138</fb>
    <v>6</v>
  </rv>
  <rv s="3">
    <fb>45586</fb>
    <v>5</v>
  </rv>
  <rv s="3">
    <fb>143.71</fb>
    <v>6</v>
  </rv>
  <rv s="3">
    <fb>45587</fb>
    <v>5</v>
  </rv>
  <rv s="3">
    <fb>143.59</fb>
    <v>6</v>
  </rv>
  <rv s="3">
    <fb>45588</fb>
    <v>5</v>
  </rv>
  <rv s="3">
    <fb>139.56</fb>
    <v>6</v>
  </rv>
  <rv s="3">
    <fb>45589</fb>
    <v>5</v>
  </rv>
  <rv s="3">
    <fb>140.41</fb>
    <v>6</v>
  </rv>
  <rv s="3">
    <fb>45590</fb>
    <v>5</v>
  </rv>
  <rv s="3">
    <fb>141.54</fb>
    <v>6</v>
  </rv>
  <rv s="3">
    <fb>45593</fb>
    <v>5</v>
  </rv>
  <rv s="3">
    <fb>140.52000000000001</fb>
    <v>6</v>
  </rv>
  <rv s="3">
    <fb>45594</fb>
    <v>5</v>
  </rv>
  <rv s="3">
    <fb>141.25</fb>
    <v>6</v>
  </rv>
  <rv s="3">
    <fb>45595</fb>
    <v>5</v>
  </rv>
  <rv s="3">
    <fb>139.33500000000001</fb>
    <v>6</v>
  </rv>
  <rv s="3">
    <fb>45596</fb>
    <v>5</v>
  </rv>
  <rv s="3">
    <fb>132.76</fb>
    <v>6</v>
  </rv>
  <rv s="3">
    <fb>45597</fb>
    <v>5</v>
  </rv>
  <rv s="3">
    <fb>135.4</fb>
    <v>6</v>
  </rv>
  <rv s="3">
    <fb>45600</fb>
    <v>5</v>
  </rv>
  <rv s="3">
    <fb>136.05000000000001</fb>
    <v>6</v>
  </rv>
  <rv s="3">
    <fb>45601</fb>
    <v>5</v>
  </rv>
  <rv s="3">
    <fb>139.91</fb>
    <v>6</v>
  </rv>
  <rv s="3">
    <fb>45602</fb>
    <v>5</v>
  </rv>
  <rv s="3">
    <fb>145.61000000000001</fb>
    <v>6</v>
  </rv>
  <rv s="3">
    <fb>45603</fb>
    <v>5</v>
  </rv>
  <rv s="3">
    <fb>148.88</fb>
    <v>6</v>
  </rv>
  <rv s="3">
    <fb>45604</fb>
    <v>5</v>
  </rv>
  <rv s="3">
    <fb>147.63</fb>
    <v>6</v>
  </rv>
  <rv s="3">
    <fb>45607</fb>
    <v>5</v>
  </rv>
  <rv s="3">
    <fb>145.26</fb>
    <v>6</v>
  </rv>
  <rv s="3">
    <fb>45608</fb>
    <v>5</v>
  </rv>
  <rv s="3">
    <fb>148.29</fb>
    <v>6</v>
  </rv>
  <rv s="3">
    <fb>45609</fb>
    <v>5</v>
  </rv>
  <rv s="3">
    <fb>146.27000000000001</fb>
    <v>6</v>
  </rv>
  <rv s="3">
    <fb>45610</fb>
    <v>5</v>
  </rv>
  <rv s="3">
    <fb>146.76</fb>
    <v>6</v>
  </rv>
  <rv s="3">
    <fb>45611</fb>
    <v>5</v>
  </rv>
  <rv s="3">
    <fb>141.97999999999999</fb>
    <v>6</v>
  </rv>
  <rv s="3">
    <fb>45614</fb>
    <v>5</v>
  </rv>
  <rv s="3">
    <fb>140.15</fb>
    <v>6</v>
  </rv>
  <rv s="3">
    <fb>45615</fb>
    <v>5</v>
  </rv>
  <rv s="3">
    <fb>147.01</fb>
    <v>6</v>
  </rv>
  <rv s="3">
    <fb>45616</fb>
    <v>5</v>
  </rv>
  <rv s="3">
    <fb>145.88999999999999</fb>
    <v>6</v>
  </rv>
  <rv s="3">
    <fb>45617</fb>
    <v>5</v>
  </rv>
  <rv s="3">
    <fb>146.66999999999999</fb>
    <v>6</v>
  </rv>
  <rv s="3">
    <fb>45618</fb>
    <v>5</v>
  </rv>
  <rv s="3">
    <fb>141.94999999999999</fb>
    <v>6</v>
  </rv>
  <rv s="3">
    <fb>45621</fb>
    <v>5</v>
  </rv>
  <rv s="3">
    <fb>136.02000000000001</fb>
    <v>6</v>
  </rv>
  <rv s="3">
    <fb>45622</fb>
    <v>5</v>
  </rv>
  <rv s="3">
    <fb>136.91999999999999</fb>
    <v>6</v>
  </rv>
  <rv s="3">
    <fb>45623</fb>
    <v>5</v>
  </rv>
  <rv s="3">
    <fb>135.34</fb>
    <v>6</v>
  </rv>
  <rv s="3">
    <fb>45625</fb>
    <v>5</v>
  </rv>
  <rv s="3">
    <fb>138.25</fb>
    <v>6</v>
  </rv>
  <rv s="3">
    <fb>45628</fb>
    <v>5</v>
  </rv>
  <rv s="3">
    <fb>138.63</fb>
    <v>6</v>
  </rv>
  <rv s="3">
    <fb>45629</fb>
    <v>5</v>
  </rv>
  <rv s="3">
    <fb>140.26</fb>
    <v>6</v>
  </rv>
  <rv s="3">
    <fb>45630</fb>
    <v>5</v>
  </rv>
  <rv s="3">
    <fb>145.13999999999999</fb>
    <v>6</v>
  </rv>
  <rv s="3">
    <fb>45631</fb>
    <v>5</v>
  </rv>
  <rv s="3">
    <fb>145.06</fb>
    <v>6</v>
  </rv>
  <rv s="3">
    <fb>45632</fb>
    <v>5</v>
  </rv>
  <rv s="3">
    <fb>142.44</fb>
    <v>6</v>
  </rv>
  <rv s="3">
    <fb>45635</fb>
    <v>5</v>
  </rv>
  <rv s="3">
    <fb>138.81</fb>
    <v>6</v>
  </rv>
  <rv s="3">
    <fb>45636</fb>
    <v>5</v>
  </rv>
  <rv s="3">
    <fb>135.07</fb>
    <v>6</v>
  </rv>
  <rv s="3">
    <fb>45637</fb>
    <v>5</v>
  </rv>
  <rv s="3">
    <fb>139.31</fb>
    <v>6</v>
  </rv>
  <rv s="3">
    <fb>45638</fb>
    <v>5</v>
  </rv>
  <rv s="3">
    <fb>137.34</fb>
    <v>6</v>
  </rv>
  <rv s="3">
    <fb>45639</fb>
    <v>5</v>
  </rv>
  <rv s="3">
    <fb>134.25</fb>
    <v>6</v>
  </rv>
  <rv s="3">
    <fb>45642</fb>
    <v>5</v>
  </rv>
  <rv s="3">
    <fb>132</fb>
    <v>6</v>
  </rv>
  <rv s="3">
    <fb>45643</fb>
    <v>5</v>
  </rv>
  <rv s="3">
    <fb>130.38999999999999</fb>
    <v>6</v>
  </rv>
  <rv s="3">
    <fb>45644</fb>
    <v>5</v>
  </rv>
  <rv s="3">
    <fb>128.91</fb>
    <v>6</v>
  </rv>
  <rv s="3">
    <fb>45645</fb>
    <v>5</v>
  </rv>
  <rv s="3">
    <fb>130.68</fb>
    <v>6</v>
  </rv>
  <rv s="3">
    <fb>45646</fb>
    <v>5</v>
  </rv>
  <rv s="3">
    <fb>134.69999999999999</fb>
    <v>6</v>
  </rv>
  <rv s="3">
    <fb>45649</fb>
    <v>5</v>
  </rv>
  <rv s="3">
    <fb>139.66999999999999</fb>
    <v>6</v>
  </rv>
  <rv s="3">
    <fb>45650</fb>
    <v>5</v>
  </rv>
  <rv s="3">
    <fb>140.22</fb>
    <v>6</v>
  </rv>
  <rv s="3">
    <fb>45652</fb>
    <v>5</v>
  </rv>
  <rv s="3">
    <fb>139.93</fb>
    <v>6</v>
  </rv>
  <rv s="3">
    <fb>45653</fb>
    <v>5</v>
  </rv>
  <rv s="3">
    <fb>137.01</fb>
    <v>6</v>
  </rv>
  <rv s="3">
    <fb>45656</fb>
    <v>5</v>
  </rv>
  <rv s="3">
    <fb>137.49</fb>
    <v>6</v>
  </rv>
  <rv s="3">
    <fb>45657</fb>
    <v>5</v>
  </rv>
  <rv s="3">
    <fb>134.29</fb>
    <v>6</v>
  </rv>
  <rv s="3">
    <fb>45659</fb>
    <v>5</v>
  </rv>
  <rv s="3">
    <fb>138.31</fb>
    <v>6</v>
  </rv>
  <rv s="3">
    <fb>45660</fb>
    <v>5</v>
  </rv>
  <rv s="3">
    <fb>144.47</fb>
    <v>6</v>
  </rv>
  <rv s="3">
    <fb>45663</fb>
    <v>5</v>
  </rv>
  <rv s="3">
    <fb>149.43</fb>
    <v>6</v>
  </rv>
  <rv s="3">
    <fb>45664</fb>
    <v>5</v>
  </rv>
  <rv s="3">
    <fb>140.13999999999999</fb>
    <v>6</v>
  </rv>
  <rv s="3">
    <fb>45665</fb>
    <v>5</v>
  </rv>
  <rv s="3">
    <fb>140.11000000000001</fb>
    <v>6</v>
  </rv>
  <rv s="3">
    <fb>45667</fb>
    <v>5</v>
  </rv>
  <rv s="3">
    <fb>135.91</fb>
    <v>6</v>
  </rv>
  <rv s="3">
    <fb>45670</fb>
    <v>5</v>
  </rv>
  <rv s="3">
    <fb>133.22999999999999</fb>
    <v>6</v>
  </rv>
  <rv s="3">
    <fb>45671</fb>
    <v>5</v>
  </rv>
  <rv s="3">
    <fb>131.76</fb>
    <v>6</v>
  </rv>
  <rv s="3">
    <fb>45672</fb>
    <v>5</v>
  </rv>
  <rv s="3">
    <fb>136.24</fb>
    <v>6</v>
  </rv>
  <rv s="3">
    <fb>45673</fb>
    <v>5</v>
  </rv>
  <rv s="3">
    <fb>133.57</fb>
    <v>6</v>
  </rv>
  <rv s="3">
    <fb>45674</fb>
    <v>5</v>
  </rv>
  <rv s="3">
    <fb>137.71</fb>
    <v>6</v>
  </rv>
  <rv s="3">
    <fb>45678</fb>
    <v>5</v>
  </rv>
  <rv s="3">
    <fb>140.83000000000001</fb>
    <v>6</v>
  </rv>
  <rv s="3">
    <fb>45679</fb>
    <v>5</v>
  </rv>
  <rv s="3">
    <fb>147.07</fb>
    <v>6</v>
  </rv>
  <rv s="3">
    <fb>45680</fb>
    <v>5</v>
  </rv>
  <rv s="3">
    <fb>147.22</fb>
    <v>6</v>
  </rv>
  <rv s="3">
    <fb>45681</fb>
    <v>5</v>
  </rv>
  <rv s="3">
    <fb>142.62</fb>
    <v>6</v>
  </rv>
  <rv s="3">
    <fb>45684</fb>
    <v>5</v>
  </rv>
  <rv s="3">
    <fb>118.42</fb>
    <v>6</v>
  </rv>
  <rv s="3">
    <fb>45685</fb>
    <v>5</v>
  </rv>
  <rv s="3">
    <fb>128.99</fb>
    <v>6</v>
  </rv>
  <rv s="3">
    <fb>45686</fb>
    <v>5</v>
  </rv>
  <rv s="3">
    <fb>123.7</fb>
    <v>6</v>
  </rv>
  <rv s="3">
    <fb>45687</fb>
    <v>5</v>
  </rv>
  <rv s="3">
    <fb>124.65</fb>
    <v>6</v>
  </rv>
  <rv s="3">
    <fb>45688</fb>
    <v>5</v>
  </rv>
  <rv s="3">
    <fb>120.07</fb>
    <v>6</v>
  </rv>
  <rv s="3">
    <fb>45691</fb>
    <v>5</v>
  </rv>
  <rv s="3">
    <fb>116.66</fb>
    <v>6</v>
  </rv>
  <rv s="3">
    <fb>45692</fb>
    <v>5</v>
  </rv>
  <rv s="3">
    <fb>118.65</fb>
    <v>6</v>
  </rv>
  <rv s="3">
    <fb>45693</fb>
    <v>5</v>
  </rv>
  <rv s="3">
    <fb>124.83</fb>
    <v>6</v>
  </rv>
  <rv s="3">
    <fb>45694</fb>
    <v>5</v>
  </rv>
  <rv s="3">
    <fb>128.68</fb>
    <v>6</v>
  </rv>
  <rv s="3">
    <fb>45695</fb>
    <v>5</v>
  </rv>
  <rv s="3">
    <fb>129.84</fb>
    <v>6</v>
  </rv>
  <rv s="3">
    <fb>45698</fb>
    <v>5</v>
  </rv>
  <rv s="3">
    <fb>45699</fb>
    <v>5</v>
  </rv>
  <rv s="3">
    <fb>132.80000000000001</fb>
    <v>6</v>
  </rv>
  <rv s="3">
    <fb>45700</fb>
    <v>5</v>
  </rv>
  <rv s="3">
    <fb>131.13999999999999</fb>
    <v>6</v>
  </rv>
  <rv s="3">
    <fb>45701</fb>
    <v>5</v>
  </rv>
  <rv s="3">
    <fb>135.29</fb>
    <v>6</v>
  </rv>
  <rv s="3">
    <fb>45702</fb>
    <v>5</v>
  </rv>
  <rv s="3">
    <fb>138.85</fb>
    <v>6</v>
  </rv>
  <rv s="3">
    <fb>45706</fb>
    <v>5</v>
  </rv>
  <rv s="3">
    <fb>139.4</fb>
    <v>6</v>
  </rv>
  <rv s="3">
    <fb>45707</fb>
    <v>5</v>
  </rv>
  <rv s="3">
    <fb>139.22999999999999</fb>
    <v>6</v>
  </rv>
  <rv s="3">
    <fb>45708</fb>
    <v>5</v>
  </rv>
  <rv s="3">
    <fb>45709</fb>
    <v>5</v>
  </rv>
  <rv s="3">
    <fb>134.43</fb>
    <v>6</v>
  </rv>
  <rv s="3">
    <fb>45712</fb>
    <v>5</v>
  </rv>
  <rv s="3">
    <fb>130.28</fb>
    <v>6</v>
  </rv>
  <rv s="3">
    <fb>45713</fb>
    <v>5</v>
  </rv>
  <rv s="3">
    <fb>126.63</fb>
    <v>6</v>
  </rv>
  <rv s="3">
    <fb>45714</fb>
    <v>5</v>
  </rv>
  <rv s="3">
    <fb>131.28</fb>
    <v>6</v>
  </rv>
  <rv s="3">
    <fb>45715</fb>
    <v>5</v>
  </rv>
  <rv s="3">
    <fb>120.15</fb>
    <v>6</v>
  </rv>
  <rv s="3">
    <fb>45716</fb>
    <v>5</v>
  </rv>
  <rv s="3">
    <fb>45719</fb>
    <v>5</v>
  </rv>
  <rv s="3">
    <fb>114.06</fb>
    <v>6</v>
  </rv>
  <rv s="3">
    <fb>45720</fb>
    <v>5</v>
  </rv>
  <rv s="3">
    <fb>115.99</fb>
    <v>6</v>
  </rv>
  <rv s="3">
    <fb>45721</fb>
    <v>5</v>
  </rv>
  <rv s="3">
    <fb>117.3</fb>
    <v>6</v>
  </rv>
  <rv s="3">
    <fb>45722</fb>
    <v>5</v>
  </rv>
  <rv s="3">
    <fb>110.57</fb>
    <v>6</v>
  </rv>
  <rv s="3">
    <fb>45723</fb>
    <v>5</v>
  </rv>
  <rv s="3">
    <fb>112.69</fb>
    <v>6</v>
  </rv>
  <rv s="3">
    <fb>45726</fb>
    <v>5</v>
  </rv>
  <rv s="3">
    <fb>106.98</fb>
    <v>6</v>
  </rv>
  <rv s="3">
    <fb>45727</fb>
    <v>5</v>
  </rv>
  <rv s="3">
    <fb>108.76</fb>
    <v>6</v>
  </rv>
  <rv s="3">
    <fb>45728</fb>
    <v>5</v>
  </rv>
  <rv s="3">
    <fb>115.74</fb>
    <v>6</v>
  </rv>
  <rv s="3">
    <fb>45729</fb>
    <v>5</v>
  </rv>
  <rv s="3">
    <fb>115.58</fb>
    <v>6</v>
  </rv>
  <rv s="3">
    <fb>45730</fb>
    <v>5</v>
  </rv>
  <rv s="3">
    <fb>121.67</fb>
    <v>6</v>
  </rv>
  <rv s="3">
    <fb>45733</fb>
    <v>5</v>
  </rv>
  <rv s="3">
    <fb>119.53</fb>
    <v>6</v>
  </rv>
  <rv s="3">
    <fb>45734</fb>
    <v>5</v>
  </rv>
  <rv s="3">
    <fb>115.43</fb>
    <v>6</v>
  </rv>
  <rv s="3">
    <fb>45735</fb>
    <v>5</v>
  </rv>
  <rv s="3">
    <fb>117.52</fb>
    <v>6</v>
  </rv>
  <rv s="3">
    <fb>45736</fb>
    <v>5</v>
  </rv>
  <rv s="3">
    <fb>118.53</fb>
    <v>6</v>
  </rv>
  <rv s="3">
    <fb>45737</fb>
    <v>5</v>
  </rv>
  <rv s="3">
    <fb>117.7</fb>
    <v>6</v>
  </rv>
  <rv s="3">
    <fb>45740</fb>
    <v>5</v>
  </rv>
  <rv s="3">
    <fb>121.41</fb>
    <v>6</v>
  </rv>
  <rv s="3">
    <fb>45741</fb>
    <v>5</v>
  </rv>
  <rv s="3">
    <fb>120.69</fb>
    <v>6</v>
  </rv>
  <rv s="3">
    <fb>45742</fb>
    <v>5</v>
  </rv>
  <rv s="3">
    <fb>113.76</fb>
    <v>6</v>
  </rv>
  <rv s="3">
    <fb>45743</fb>
    <v>5</v>
  </rv>
  <rv s="3">
    <fb>111.43</fb>
    <v>6</v>
  </rv>
  <rv s="3">
    <fb>45744</fb>
    <v>5</v>
  </rv>
  <rv s="3">
    <fb>109.67</fb>
    <v>6</v>
  </rv>
  <rv s="3">
    <fb>45747</fb>
    <v>5</v>
  </rv>
  <rv s="3">
    <fb>108.38</fb>
    <v>6</v>
  </rv>
  <rv s="3">
    <fb>45748</fb>
    <v>5</v>
  </rv>
  <rv s="3">
    <fb>110.15</fb>
    <v>6</v>
  </rv>
  <rv s="3">
    <fb>45749</fb>
    <v>5</v>
  </rv>
  <rv s="3">
    <fb>110.42</fb>
    <v>6</v>
  </rv>
  <rv s="3">
    <fb>45750</fb>
    <v>5</v>
  </rv>
  <rv s="3">
    <fb>101.8</fb>
    <v>6</v>
  </rv>
  <rv s="3">
    <fb>45751</fb>
    <v>5</v>
  </rv>
  <rv s="3">
    <fb>94.31</fb>
    <v>6</v>
  </rv>
  <rv s="3">
    <fb>45754</fb>
    <v>5</v>
  </rv>
  <rv s="3">
    <fb>97.64</fb>
    <v>6</v>
  </rv>
  <rv s="3">
    <fb>45755</fb>
    <v>5</v>
  </rv>
  <rv s="3">
    <fb>96.3</fb>
    <v>6</v>
  </rv>
  <rv s="3">
    <fb>45756</fb>
    <v>5</v>
  </rv>
  <rv s="3">
    <fb>114.33</fb>
    <v>6</v>
  </rv>
  <rv s="3">
    <fb>45757</fb>
    <v>5</v>
  </rv>
  <rv s="3">
    <fb>107.57</fb>
    <v>6</v>
  </rv>
  <rv s="3">
    <fb>45758</fb>
    <v>5</v>
  </rv>
  <rv s="3">
    <fb>110.93</fb>
    <v>6</v>
  </rv>
  <rv s="3">
    <fb>45761</fb>
    <v>5</v>
  </rv>
  <rv s="3">
    <fb>110.71</fb>
    <v>6</v>
  </rv>
  <rv s="3">
    <fb>45762</fb>
    <v>5</v>
  </rv>
  <rv s="3">
    <fb>112.2</fb>
    <v>6</v>
  </rv>
  <rv s="3">
    <fb>45763</fb>
    <v>5</v>
  </rv>
  <rv s="3">
    <fb>104.49</fb>
    <v>6</v>
  </rv>
  <rv s="3">
    <fb>45764</fb>
    <v>5</v>
  </rv>
  <rv s="3">
    <fb>101.49</fb>
    <v>6</v>
  </rv>
  <rv s="3">
    <fb>45768</fb>
    <v>5</v>
  </rv>
  <rv s="3">
    <fb>96.91</fb>
    <v>6</v>
  </rv>
  <rv s="3">
    <fb>45769</fb>
    <v>5</v>
  </rv>
  <rv s="3">
    <fb>98.89</fb>
    <v>6</v>
  </rv>
  <rv s="3">
    <fb>45770</fb>
    <v>5</v>
  </rv>
  <rv s="3">
    <fb>102.71</fb>
    <v>6</v>
  </rv>
  <rv s="3">
    <fb>45771</fb>
    <v>5</v>
  </rv>
  <rv s="3">
    <fb>106.43</fb>
    <v>6</v>
  </rv>
  <rv s="3">
    <fb>45772</fb>
    <v>5</v>
  </rv>
  <rv s="3">
    <fb>111.01</fb>
    <v>6</v>
  </rv>
  <rv s="3">
    <fb>45775</fb>
    <v>5</v>
  </rv>
  <rv s="3">
    <fb>108.73</fb>
    <v>6</v>
  </rv>
  <rv s="3">
    <fb>45776</fb>
    <v>5</v>
  </rv>
  <rv s="3">
    <fb>45777</fb>
    <v>5</v>
  </rv>
  <rv s="3">
    <fb>108.92</fb>
    <v>6</v>
  </rv>
  <rv s="3">
    <fb>45778</fb>
    <v>5</v>
  </rv>
  <rv s="3">
    <fb>111.61</fb>
    <v>6</v>
  </rv>
  <rv s="3">
    <fb>45779</fb>
    <v>5</v>
  </rv>
  <rv s="3">
    <fb>114.5</fb>
    <v>6</v>
  </rv>
  <rv s="3">
    <fb>45782</fb>
    <v>5</v>
  </rv>
  <rv s="3">
    <fb>113.82</fb>
    <v>6</v>
  </rv>
  <rv s="3">
    <fb>45783</fb>
    <v>5</v>
  </rv>
  <rv s="3">
    <fb>113.54</fb>
    <v>6</v>
  </rv>
  <rv s="3">
    <fb>45784</fb>
    <v>5</v>
  </rv>
  <rv s="3">
    <fb>117.06</fb>
    <v>6</v>
  </rv>
  <rv s="3">
    <fb>45785</fb>
    <v>5</v>
  </rv>
  <rv s="3">
    <fb>117.37</fb>
    <v>6</v>
  </rv>
  <rv s="3">
    <fb>45786</fb>
    <v>5</v>
  </rv>
  <rv s="3">
    <fb>116.65</fb>
    <v>6</v>
  </rv>
  <rv s="3">
    <fb>45789</fb>
    <v>5</v>
  </rv>
  <rv s="3">
    <fb>123</fb>
    <v>6</v>
  </rv>
  <rv s="3">
    <fb>45790</fb>
    <v>5</v>
  </rv>
  <rv s="3">
    <fb>129.93</fb>
    <v>6</v>
  </rv>
  <rv s="3">
    <fb>45791</fb>
    <v>5</v>
  </rv>
  <rv s="3">
    <fb>45792</fb>
    <v>5</v>
  </rv>
  <rv s="3">
    <fb>134.83000000000001</fb>
    <v>6</v>
  </rv>
  <rv s="3">
    <fb>45793</fb>
    <v>5</v>
  </rv>
  <rv s="3">
    <fb>45796</fb>
    <v>5</v>
  </rv>
  <rv s="3">
    <fb>135.57</fb>
    <v>6</v>
  </rv>
  <rv s="3">
    <fb>45797</fb>
    <v>5</v>
  </rv>
  <rv s="3">
    <fb>134.38</fb>
    <v>6</v>
  </rv>
  <rv s="3">
    <fb>45798</fb>
    <v>5</v>
  </rv>
  <rv s="3">
    <fb>131.80000000000001</fb>
    <v>6</v>
  </rv>
  <rv s="3">
    <fb>45799</fb>
    <v>5</v>
  </rv>
  <rv s="3">
    <fb>132.83000000000001</fb>
    <v>6</v>
  </rv>
  <rv s="3">
    <fb>45800</fb>
    <v>5</v>
  </rv>
  <rv s="3">
    <fb>131.29</fb>
    <v>6</v>
  </rv>
  <rv s="3">
    <fb>45804</fb>
    <v>5</v>
  </rv>
  <rv s="3">
    <fb>135.5</fb>
    <v>6</v>
  </rv>
  <rv s="3">
    <fb>45805</fb>
    <v>5</v>
  </rv>
  <rv s="3">
    <fb>45806</fb>
    <v>5</v>
  </rv>
  <rv s="3">
    <fb>139.19</fb>
    <v>6</v>
  </rv>
  <rv s="3">
    <fb>45807</fb>
    <v>5</v>
  </rv>
  <rv s="3">
    <fb>135.13</fb>
    <v>6</v>
  </rv>
  <rv s="3">
    <fb>45810</fb>
    <v>5</v>
  </rv>
  <rv s="3">
    <fb>137.38</fb>
    <v>6</v>
  </rv>
  <rv s="3">
    <fb>45811</fb>
    <v>5</v>
  </rv>
  <rv s="3">
    <fb>141.22</fb>
    <v>6</v>
  </rv>
  <rv s="3">
    <fb>45812</fb>
    <v>5</v>
  </rv>
  <rv s="3">
    <fb>141.91999999999999</fb>
    <v>6</v>
  </rv>
  <rv s="3">
    <fb>45813</fb>
    <v>5</v>
  </rv>
  <rv s="3">
    <fb>139.99</fb>
    <v>6</v>
  </rv>
  <rv s="3">
    <fb>45814</fb>
    <v>5</v>
  </rv>
  <rv s="3">
    <fb>141.72</fb>
    <v>6</v>
  </rv>
  <rv s="3">
    <fb>45817</fb>
    <v>5</v>
  </rv>
  <rv s="3">
    <fb>142.63</fb>
    <v>6</v>
  </rv>
  <rv s="3">
    <fb>45818</fb>
    <v>5</v>
  </rv>
  <rv s="3">
    <fb>143.96</fb>
    <v>6</v>
  </rv>
  <rv s="3">
    <fb>45819</fb>
    <v>5</v>
  </rv>
  <rv s="3">
    <fb>142.83000000000001</fb>
    <v>6</v>
  </rv>
  <rv s="3">
    <fb>45820</fb>
    <v>5</v>
  </rv>
  <rv s="3">
    <fb>145</fb>
    <v>6</v>
  </rv>
  <rv s="3">
    <fb>45821</fb>
    <v>5</v>
  </rv>
  <rv s="3">
    <fb>141.97</fb>
    <v>6</v>
  </rv>
  <rv s="3">
    <fb>45824</fb>
    <v>5</v>
  </rv>
  <rv s="3">
    <fb>144.69</fb>
    <v>6</v>
  </rv>
  <rv s="3">
    <fb>45825</fb>
    <v>5</v>
  </rv>
  <rv s="3">
    <fb>144.12</fb>
    <v>6</v>
  </rv>
  <rv s="3">
    <fb>45826</fb>
    <v>5</v>
  </rv>
  <rv s="3">
    <fb>145.47999999999999</fb>
    <v>6</v>
  </rv>
  <rv s="3">
    <fb>45828</fb>
    <v>5</v>
  </rv>
  <rv s="3">
    <fb>143.85</fb>
    <v>6</v>
  </rv>
  <rv s="3">
    <fb>45831</fb>
    <v>5</v>
  </rv>
  <rv s="3">
    <fb>144.16999999999999</fb>
    <v>6</v>
  </rv>
  <rv s="3">
    <fb>45832</fb>
    <v>5</v>
  </rv>
  <rv s="3">
    <fb>147.9</fb>
    <v>6</v>
  </rv>
  <rv s="3">
    <fb>45833</fb>
    <v>5</v>
  </rv>
  <rv s="3">
    <fb>154.31</fb>
    <v>6</v>
  </rv>
  <rv s="3">
    <fb>45834</fb>
    <v>5</v>
  </rv>
  <rv s="3">
    <fb>155.02000000000001</fb>
    <v>6</v>
  </rv>
  <rv s="3">
    <fb>45835</fb>
    <v>5</v>
  </rv>
  <rv s="3">
    <fb>157.75</fb>
    <v>6</v>
  </rv>
  <rv s="3">
    <fb>45838</fb>
    <v>5</v>
  </rv>
  <rv s="3">
    <fb>157.99</fb>
    <v>6</v>
  </rv>
  <rv s="3">
    <fb>45839</fb>
    <v>5</v>
  </rv>
  <rv s="3">
    <fb>153.30000000000001</fb>
    <v>6</v>
  </rv>
  <rv s="3">
    <fb>45840</fb>
    <v>5</v>
  </rv>
  <rv s="3">
    <fb>157.25</fb>
    <v>6</v>
  </rv>
  <rv s="3">
    <fb>45841</fb>
    <v>5</v>
  </rv>
  <rv s="3">
    <fb>159.34</fb>
    <v>6</v>
  </rv>
  <rv s="3">
    <fb>45845</fb>
    <v>5</v>
  </rv>
  <rv s="3">
    <fb>158.24</fb>
    <v>6</v>
  </rv>
  <rv s="3">
    <fb>45846</fb>
    <v>5</v>
  </rv>
  <rv s="3">
    <fb>160</fb>
    <v>6</v>
  </rv>
  <rv s="3">
    <fb>45847</fb>
    <v>5</v>
  </rv>
  <rv s="3">
    <fb>162.88</fb>
    <v>6</v>
  </rv>
  <rv s="3">
    <fb>45848</fb>
    <v>5</v>
  </rv>
  <rv s="3">
    <fb>164.1</fb>
    <v>6</v>
  </rv>
  <rv s="3">
    <fb>45849</fb>
    <v>5</v>
  </rv>
  <rv s="3">
    <fb>164.92</fb>
    <v>6</v>
  </rv>
  <rv s="3">
    <fb>45852</fb>
    <v>5</v>
  </rv>
  <rv s="3">
    <fb>164.07</fb>
    <v>6</v>
  </rv>
  <rv s="3">
    <fb>45853</fb>
    <v>5</v>
  </rv>
  <rv s="3">
    <fb>170.7</fb>
    <v>6</v>
  </rv>
  <rv s="3">
    <fb>45854</fb>
    <v>5</v>
  </rv>
  <rv s="3">
    <fb>171.37</fb>
    <v>6</v>
  </rv>
  <rv s="3">
    <fb>45855</fb>
    <v>5</v>
  </rv>
  <rv s="3">
    <fb>173</fb>
    <v>6</v>
  </rv>
  <rv s="3">
    <fb>45856</fb>
    <v>5</v>
  </rv>
  <rv s="3">
    <fb>172.41</fb>
    <v>6</v>
  </rv>
  <rv s="3">
    <fb>45859</fb>
    <v>5</v>
  </rv>
  <rv s="3">
    <fb>171.38</fb>
    <v>6</v>
  </rv>
  <rv s="3">
    <fb>45860</fb>
    <v>5</v>
  </rv>
  <rv s="3">
    <fb>167.03</fb>
    <v>6</v>
  </rv>
  <rv s="3">
    <fb>45861</fb>
    <v>5</v>
  </rv>
  <rv s="3">
    <fb>170.78</fb>
    <v>6</v>
  </rv>
  <rv s="3">
    <fb>45862</fb>
    <v>5</v>
  </rv>
  <rv s="3">
    <fb>173.74</fb>
    <v>6</v>
  </rv>
  <rv s="3">
    <fb>45863</fb>
    <v>5</v>
  </rv>
  <rv s="3">
    <fb>173.5</fb>
    <v>6</v>
  </rv>
  <rv s="3">
    <fb>45866</fb>
    <v>5</v>
  </rv>
  <rv s="3">
    <fb>176.75</fb>
    <v>6</v>
  </rv>
  <rv s="3">
    <fb>45867</fb>
    <v>5</v>
  </rv>
  <rv s="3">
    <fb>175.51</fb>
    <v>6</v>
  </rv>
  <rv s="3">
    <fb>45868</fb>
    <v>5</v>
  </rv>
  <rv s="3">
    <fb>179.27</fb>
    <v>6</v>
  </rv>
  <rv s="3">
    <fb>45869</fb>
    <v>5</v>
  </rv>
  <rv s="3">
    <fb>177.87</fb>
    <v>6</v>
  </rv>
  <rv s="3">
    <fb>45870</fb>
    <v>5</v>
  </rv>
  <rv s="3">
    <fb>173.72</fb>
    <v>6</v>
  </rv>
  <rv s="3">
    <fb>45873</fb>
    <v>5</v>
  </rv>
  <rv s="3">
    <fb>180</fb>
    <v>6</v>
  </rv>
  <rv s="3">
    <fb>45874</fb>
    <v>5</v>
  </rv>
  <rv s="3">
    <fb>178.26</fb>
    <v>6</v>
  </rv>
  <rv s="3">
    <fb>45875</fb>
    <v>5</v>
  </rv>
  <rv s="3">
    <fb>179.42</fb>
    <v>6</v>
  </rv>
  <rv s="3">
    <fb>45876</fb>
    <v>5</v>
  </rv>
  <rv s="3">
    <fb>180.77</fb>
    <v>6</v>
  </rv>
  <rv s="3">
    <fb>45877</fb>
    <v>5</v>
  </rv>
  <rv s="3">
    <fb>182.7</fb>
    <v>6</v>
  </rv>
  <rv s="3">
    <fb>45880</fb>
    <v>5</v>
  </rv>
  <rv s="3">
    <fb>182.06</fb>
    <v>6</v>
  </rv>
  <rv s="3">
    <fb>45881</fb>
    <v>5</v>
  </rv>
  <rv s="3">
    <fb>183.16</fb>
    <v>6</v>
  </rv>
  <rv s="3">
    <fb>45882</fb>
    <v>5</v>
  </rv>
  <rv s="3">
    <fb>181.59</fb>
    <v>6</v>
  </rv>
  <rv s="3">
    <fb>45883</fb>
    <v>5</v>
  </rv>
  <rv s="3">
    <fb>182.02</fb>
    <v>6</v>
  </rv>
  <rv s="3">
    <fb>45884</fb>
    <v>5</v>
  </rv>
  <rv s="3">
    <fb>180.45</fb>
    <v>6</v>
  </rv>
  <rv s="3">
    <fb>45887</fb>
    <v>5</v>
  </rv>
  <rv s="3">
    <fb>182.01</fb>
    <v>6</v>
  </rv>
  <rv s="3">
    <fb>45888</fb>
    <v>5</v>
  </rv>
  <rv s="3">
    <fb>175.64</fb>
    <v>6</v>
  </rv>
  <rv s="3">
    <fb>45889</fb>
    <v>5</v>
  </rv>
  <rv s="3">
    <fb>175.4</fb>
    <v>6</v>
  </rv>
  <rv s="3">
    <fb>45890</fb>
    <v>5</v>
  </rv>
  <rv s="3">
    <fb>174.98</fb>
    <v>6</v>
  </rv>
  <rv s="3">
    <fb>45891</fb>
    <v>5</v>
  </rv>
  <rv s="3">
    <fb>177.99</fb>
    <v>6</v>
  </rv>
  <rv s="3">
    <fb>45894</fb>
    <v>5</v>
  </rv>
  <rv s="3">
    <fb>179.81</fb>
    <v>6</v>
  </rv>
  <rv s="3">
    <fb>45895</fb>
    <v>5</v>
  </rv>
  <rv s="3">
    <fb>181.77</fb>
    <v>6</v>
  </rv>
  <rv s="3">
    <fb>45896</fb>
    <v>5</v>
  </rv>
  <rv s="3">
    <fb>181.6</fb>
    <v>6</v>
  </rv>
  <rv s="3">
    <fb>45897</fb>
    <v>5</v>
  </rv>
  <rv s="3">
    <fb>180.17</fb>
    <v>6</v>
  </rv>
  <rv s="3">
    <fb>45898</fb>
    <v>5</v>
  </rv>
  <rv s="3">
    <fb>174.18</fb>
    <v>6</v>
  </rv>
  <rv s="3">
    <fb>45902</fb>
    <v>5</v>
  </rv>
  <rv s="3">
    <fb>45903</fb>
    <v>5</v>
  </rv>
  <rv s="3">
    <fb>170.62</fb>
    <v>6</v>
  </rv>
  <rv s="3">
    <fb>45904</fb>
    <v>5</v>
  </rv>
  <rv s="3">
    <fb>171.66</fb>
    <v>6</v>
  </rv>
  <rv s="3">
    <fb>45905</fb>
    <v>5</v>
  </rv>
  <rv s="3">
    <fb>167.02</fb>
    <v>6</v>
  </rv>
  <rv s="3">
    <fb>45908</fb>
    <v>5</v>
  </rv>
  <rv s="3">
    <fb>168.31</fb>
    <v>6</v>
  </rv>
  <rv s="3">
    <fb>45909</fb>
    <v>5</v>
  </rv>
  <rv s="3">
    <fb>170.76</fb>
    <v>6</v>
  </rv>
  <rv s="3">
    <fb>45910</fb>
    <v>5</v>
  </rv>
  <rv s="3">
    <fb>177.33</fb>
    <v>6</v>
  </rv>
  <rv s="3">
    <fb>45911</fb>
    <v>5</v>
  </rv>
  <rv s="3">
    <fb>177.17</fb>
    <v>6</v>
  </rv>
  <rv s="3">
    <fb>45912</fb>
    <v>5</v>
  </rv>
  <rv s="3">
    <fb>177.82</fb>
    <v>6</v>
  </rv>
  <rv s="3">
    <fb>45915</fb>
    <v>5</v>
  </rv>
  <rv s="3">
    <fb>177.75</fb>
    <v>6</v>
  </rv>
  <rv s="3">
    <fb>45916</fb>
    <v>5</v>
  </rv>
  <rv s="3">
    <fb>174.88</fb>
    <v>6</v>
  </rv>
  <rv s="3">
    <fb>45917</fb>
    <v>5</v>
  </rv>
  <rv s="3">
    <fb>170.29</fb>
    <v>6</v>
  </rv>
  <rv s="3">
    <fb>45918</fb>
    <v>5</v>
  </rv>
  <rv s="3">
    <fb>176.24</fb>
    <v>6</v>
  </rv>
  <rv s="3">
    <fb>45919</fb>
    <v>5</v>
  </rv>
  <rv s="3">
    <fb>176.67</fb>
    <v>6</v>
  </rv>
  <rv s="3">
    <fb>45922</fb>
    <v>5</v>
  </rv>
  <rv s="3">
    <fb>183.61</fb>
    <v>6</v>
  </rv>
  <rv s="3">
    <fb>45923</fb>
    <v>5</v>
  </rv>
  <rv s="3">
    <fb>178.43</fb>
    <v>6</v>
  </rv>
  <rv s="3">
    <fb>45924</fb>
    <v>5</v>
  </rv>
  <rv s="3">
    <fb>176.97</fb>
    <v>6</v>
  </rv>
  <rv s="3">
    <fb>45925</fb>
    <v>5</v>
  </rv>
  <rv s="3">
    <fb>177.69</fb>
    <v>6</v>
  </rv>
  <rv s="3">
    <fb>45926</fb>
    <v>5</v>
  </rv>
  <rv s="3">
    <fb>178.19</fb>
    <v>6</v>
  </rv>
  <rv s="3">
    <fb>45929</fb>
    <v>5</v>
  </rv>
  <rv s="3">
    <fb>181.85</fb>
    <v>6</v>
  </rv>
  <rv s="3">
    <fb>45930</fb>
    <v>5</v>
  </rv>
  <rv s="3">
    <fb>186.58</fb>
    <v>6</v>
  </rv>
  <rv s="3">
    <fb>45931</fb>
    <v>5</v>
  </rv>
  <rv s="3">
    <fb>187.24</fb>
    <v>6</v>
  </rv>
  <rv s="3">
    <fb>45932</fb>
    <v>5</v>
  </rv>
  <rv s="3">
    <fb>188.89</fb>
    <v>6</v>
  </rv>
  <rv s="3">
    <fb>45933</fb>
    <v>5</v>
  </rv>
  <rv s="3">
    <fb>187.62</fb>
    <v>6</v>
  </rv>
  <rv s="3">
    <fb>45936</fb>
    <v>5</v>
  </rv>
  <rv s="3">
    <fb>185.54</fb>
    <v>6</v>
  </rv>
  <rv s="3">
    <fb>45937</fb>
    <v>5</v>
  </rv>
  <rv s="3">
    <fb>185.04</fb>
    <v>6</v>
  </rv>
  <rv s="3">
    <fb>45938</fb>
    <v>5</v>
  </rv>
  <rv s="3">
    <fb>189.11</fb>
    <v>6</v>
  </rv>
  <rv s="3">
    <fb>45939</fb>
    <v>5</v>
  </rv>
  <rv s="3">
    <fb>192.57</fb>
    <v>6</v>
  </rv>
  <rv s="3">
    <fb>45940</fb>
    <v>5</v>
  </rv>
  <rv s="3">
    <fb>45943</fb>
    <v>5</v>
  </rv>
  <rv s="3">
    <fb>188.32</fb>
    <v>6</v>
  </rv>
  <rv s="3">
    <fb>45944</fb>
    <v>5</v>
  </rv>
  <rv s="3">
    <fb>180.03</fb>
    <v>6</v>
  </rv>
  <rv s="3">
    <fb>45945</fb>
    <v>5</v>
  </rv>
  <rv s="3">
    <fb>179.83</fb>
    <v>6</v>
  </rv>
  <rv s="3">
    <fb>45946</fb>
    <v>5</v>
  </rv>
  <rv s="3">
    <fb>181.81</fb>
    <v>6</v>
  </rv>
  <rv s="3">
    <fb>45947</fb>
    <v>5</v>
  </rv>
  <rv s="3">
    <fb>183.22</fb>
    <v>6</v>
  </rv>
  <rv s="3">
    <fb>45950</fb>
    <v>5</v>
  </rv>
  <rv s="3">
    <fb>182.64</fb>
    <v>6</v>
  </rv>
  <rv s="3">
    <fb>45951</fb>
    <v>5</v>
  </rv>
  <rv s="3">
    <fb>181.16</fb>
    <v>6</v>
  </rv>
  <rv s="3">
    <fb>45952</fb>
    <v>5</v>
  </rv>
  <rv s="3">
    <fb>180.28</fb>
    <v>6</v>
  </rv>
  <rv s="3">
    <fb>45953</fb>
    <v>5</v>
  </rv>
  <rv s="3">
    <fb>182.16</fb>
    <v>6</v>
  </rv>
  <rv s="3">
    <fb>45954</fb>
    <v>5</v>
  </rv>
  <rv s="3">
    <fb>186.26</fb>
    <v>6</v>
  </rv>
  <rv s="3">
    <fb>45957</fb>
    <v>5</v>
  </rv>
  <rv s="3">
    <fb>191.49</fb>
    <v>6</v>
  </rv>
  <rv s="3">
    <fb>45958</fb>
    <v>5</v>
  </rv>
  <rv s="3">
    <fb>201.03</fb>
    <v>6</v>
  </rv>
  <rv s="3">
    <fb>45959</fb>
    <v>5</v>
  </rv>
  <rv s="3">
    <fb>207.04</fb>
    <v>6</v>
  </rv>
  <rv s="3">
    <fb>45960</fb>
    <v>5</v>
  </rv>
  <rv s="3">
    <fb>202.89</fb>
    <v>6</v>
  </rv>
  <rv s="3">
    <fb>45961</fb>
    <v>5</v>
  </rv>
  <rv s="3">
    <fb>202.49</fb>
    <v>6</v>
  </rv>
  <rv s="3">
    <fb>45964</fb>
    <v>5</v>
  </rv>
  <rv s="3">
    <fb>206.88</fb>
    <v>6</v>
  </rv>
  <rv s="3">
    <fb>45965</fb>
    <v>5</v>
  </rv>
  <rv s="3">
    <fb>198.69</fb>
    <v>6</v>
  </rv>
  <rv s="3">
    <fb>45966</fb>
    <v>5</v>
  </rv>
  <rv s="3">
    <fb>195.21</fb>
    <v>6</v>
  </rv>
  <rv s="3">
    <fb>45967</fb>
    <v>5</v>
  </rv>
  <rv s="3">
    <fb>188.08</fb>
    <v>6</v>
  </rv>
  <rv s="3">
    <fb>45968</fb>
    <v>5</v>
  </rv>
  <rv s="3">
    <fb>188.15</fb>
    <v>6</v>
  </rv>
  <rv s="3">
    <fb>45971</fb>
    <v>5</v>
  </rv>
  <rv s="3">
    <fb>199.05</fb>
    <v>6</v>
  </rv>
  <rv s="3">
    <fb>45972</fb>
    <v>5</v>
  </rv>
  <rv s="3">
    <fb>193.16</fb>
    <v>6</v>
  </rv>
  <rv s="3">
    <fb>45973</fb>
    <v>5</v>
  </rv>
  <rv s="3">
    <fb>193.8</fb>
    <v>6</v>
  </rv>
  <rv s="3">
    <fb>45974</fb>
    <v>5</v>
  </rv>
  <rv s="3">
    <fb>186.86</fb>
    <v>6</v>
  </rv>
  <rv s="3">
    <fb>45975</fb>
    <v>5</v>
  </rv>
  <rv s="3">
    <fb>190.17</fb>
    <v>6</v>
  </rv>
  <rv s="3">
    <fb>45978</fb>
    <v>5</v>
  </rv>
  <rv s="3">
    <fb>186.6</fb>
    <v>6</v>
  </rv>
  <rv s="3">
    <fb>45979</fb>
    <v>5</v>
  </rv>
  <rv s="3">
    <fb>181.36</fb>
    <v>6</v>
  </rv>
  <rv s="3">
    <fb>45980</fb>
    <v>5</v>
  </rv>
  <rv s="3">
    <fb>186.52</fb>
    <v>6</v>
  </rv>
  <rv s="3">
    <fb>45981</fb>
    <v>5</v>
  </rv>
  <rv s="3">
    <fb>180.64</fb>
    <v>6</v>
  </rv>
  <rv s="3">
    <fb>45982</fb>
    <v>5</v>
  </rv>
  <rv s="3">
    <fb>178.88</fb>
    <v>6</v>
  </rv>
  <rv s="3">
    <fb>45985</fb>
    <v>5</v>
  </rv>
  <rv s="3">
    <fb>182.55</fb>
    <v>6</v>
  </rv>
  <rv s="3">
    <fb>45986</fb>
    <v>5</v>
  </rv>
  <rv s="3">
    <fb>45987</fb>
    <v>5</v>
  </rv>
  <rv s="3">
    <fb>180.26</fb>
    <v>6</v>
  </rv>
  <rv s="3">
    <fb>45989</fb>
    <v>5</v>
  </rv>
  <rv s="3">
    <fb>177</fb>
    <v>6</v>
  </rv>
  <rv s="3">
    <fb>45992</fb>
    <v>5</v>
  </rv>
  <rv s="3">
    <fb>179.92</fb>
    <v>6</v>
  </rv>
  <rv s="3">
    <fb>45993</fb>
    <v>5</v>
  </rv>
  <rv s="3">
    <fb>181.46</fb>
    <v>6</v>
  </rv>
  <rv s="3">
    <fb>45994</fb>
    <v>5</v>
  </rv>
  <rv s="3">
    <fb>179.59</fb>
    <v>6</v>
  </rv>
  <rv s="3">
    <fb>45995</fb>
    <v>5</v>
  </rv>
  <rv s="3">
    <fb>183.38</fb>
    <v>6</v>
  </rv>
  <rv s="3">
    <fb>45996</fb>
    <v>5</v>
  </rv>
  <rv s="3">
    <fb>182.41</fb>
    <v>6</v>
  </rv>
  <rv s="3">
    <fb>45999</fb>
    <v>5</v>
  </rv>
  <rv s="3">
    <fb>185.55</fb>
    <v>6</v>
  </rv>
  <rv s="3">
    <fb>46000</fb>
    <v>5</v>
  </rv>
  <rv s="3">
    <fb>184.97</fb>
    <v>6</v>
  </rv>
  <rv s="3">
    <fb>46001</fb>
    <v>5</v>
  </rv>
  <rv s="3">
    <fb>183.78</fb>
    <v>6</v>
  </rv>
  <rv s="3">
    <fb>46002</fb>
    <v>5</v>
  </rv>
  <rv s="3">
    <fb>180.93</fb>
    <v>6</v>
  </rv>
  <rv s="3">
    <fb>46003</fb>
    <v>5</v>
  </rv>
  <rv s="3">
    <fb>175.02</fb>
    <v>6</v>
  </rv>
  <rv s="3">
    <fb>46006</fb>
    <v>5</v>
  </rv>
  <rv s="3">
    <fb>176.29</fb>
    <v>6</v>
  </rv>
  <rv s="3">
    <fb>46007</fb>
    <v>5</v>
  </rv>
  <rv s="3">
    <fb>177.72</fb>
    <v>6</v>
  </rv>
  <rv s="3">
    <fb>46008</fb>
    <v>5</v>
  </rv>
  <rv s="3">
    <fb>170.94</fb>
    <v>6</v>
  </rv>
  <rv s="3">
    <fb>46009</fb>
    <v>5</v>
  </rv>
  <rv s="3">
    <fb>174.14</fb>
    <v>6</v>
  </rv>
  <rv s="3">
    <fb>46010</fb>
    <v>5</v>
  </rv>
  <rv s="3">
    <fb>180.99</fb>
    <v>6</v>
  </rv>
  <rv s="3">
    <fb>46013</fb>
    <v>5</v>
  </rv>
  <rv s="3">
    <fb>183.69</fb>
    <v>6</v>
  </rv>
  <rv s="3">
    <fb>46014</fb>
    <v>5</v>
  </rv>
  <rv s="3">
    <fb>189.21</fb>
    <v>6</v>
  </rv>
  <rv s="3">
    <fb>46015</fb>
    <v>5</v>
  </rv>
  <rv s="3">
    <fb>188.61</fb>
    <v>6</v>
  </rv>
  <rv s="3">
    <fb>46017</fb>
    <v>5</v>
  </rv>
  <rv s="3">
    <fb>190.53</fb>
    <v>6</v>
  </rv>
  <rv s="3">
    <fb>46020</fb>
    <v>5</v>
  </rv>
  <rv s="3">
    <fb>188.22</fb>
    <v>6</v>
  </rv>
  <rv s="3">
    <fb>46021</fb>
    <v>5</v>
  </rv>
  <rv s="3">
    <fb>187.54</fb>
    <v>6</v>
  </rv>
  <rv s="3">
    <fb>46022</fb>
    <v>5</v>
  </rv>
  <rv s="3">
    <fb>186.5</fb>
    <v>6</v>
  </rv>
  <rv s="3">
    <fb>46024</fb>
    <v>5</v>
  </rv>
  <rv s="3">
    <fb>188.85</fb>
    <v>6</v>
  </rv>
  <rv s="3">
    <fb>46027</fb>
    <v>5</v>
  </rv>
  <rv s="3">
    <fb>188.12</fb>
    <v>6</v>
  </rv>
  <rv s="3">
    <fb>46028</fb>
    <v>5</v>
  </rv>
  <rv s="3">
    <fb>46029</fb>
    <v>5</v>
  </rv>
  <rv s="3">
    <fb>46030</fb>
    <v>5</v>
  </rv>
  <rv s="3">
    <fb>46031</fb>
    <v>5</v>
  </rv>
  <rv s="3">
    <fb>184.86</fb>
    <v>6</v>
  </rv>
  <rv s="3">
    <fb>46034</fb>
    <v>5</v>
  </rv>
  <rv s="3">
    <fb>184.94</fb>
    <v>6</v>
  </rv>
  <rv s="3">
    <fb>46035</fb>
    <v>5</v>
  </rv>
  <rv s="3">
    <fb>185.81</fb>
    <v>6</v>
  </rv>
  <rv s="3">
    <fb>46036</fb>
    <v>5</v>
  </rv>
  <rv s="3">
    <fb>183.14</fb>
    <v>6</v>
  </rv>
  <rv s="3">
    <fb>46037</fb>
    <v>5</v>
  </rv>
  <rv s="3">
    <fb>187.05</fb>
    <v>6</v>
  </rv>
  <rv s="3">
    <fb>46038</fb>
    <v>5</v>
  </rv>
  <rv s="3">
    <fb>186.23</fb>
    <v>6</v>
  </rv>
  <rv s="3">
    <fb>46042</fb>
    <v>5</v>
  </rv>
  <rv s="3">
    <fb>178.07</fb>
    <v>6</v>
  </rv>
  <rv s="3">
    <fb>46043</fb>
    <v>5</v>
  </rv>
  <rv s="3">
    <fb>183.32</fb>
    <v>6</v>
  </rv>
  <rv s="3">
    <fb>46044</fb>
    <v>5</v>
  </rv>
  <rv s="3">
    <fb>184.84</fb>
    <v>6</v>
  </rv>
  <rv s="3">
    <fb>46045</fb>
    <v>5</v>
  </rv>
  <rv s="3">
    <fb>187.67</fb>
    <v>6</v>
  </rv>
  <rv s="3">
    <fb>46048</fb>
    <v>5</v>
  </rv>
  <rv s="3">
    <fb>186.47</fb>
    <v>6</v>
  </rv>
  <rv s="3">
    <fb>46049</fb>
    <v>5</v>
  </rv>
  <rv s="3">
    <fb>188.52</fb>
    <v>6</v>
  </rv>
  <rv s="3">
    <fb>46050</fb>
    <v>5</v>
  </rv>
  <rv s="3">
    <fb>191.52</fb>
    <v>6</v>
  </rv>
  <rv s="3">
    <fb>46051</fb>
    <v>5</v>
  </rv>
  <rv s="3">
    <fb>192.51</fb>
    <v>6</v>
  </rv>
  <rv s="3">
    <fb>46052</fb>
    <v>5</v>
  </rv>
  <rv s="3">
    <fb>191.13</fb>
    <v>6</v>
  </rv>
  <rv s="3">
    <fb>46055</fb>
    <v>5</v>
  </rv>
  <rv s="3">
    <fb>185.61</fb>
    <v>6</v>
  </rv>
  <rv s="3">
    <fb>46056</fb>
    <v>5</v>
  </rv>
  <rv s="3">
    <fb>180.34</fb>
    <v>6</v>
  </rv>
  <rv s="3">
    <fb>46057</fb>
    <v>5</v>
  </rv>
  <rv s="3">
    <fb>174.19</fb>
    <v>6</v>
  </rv>
  <rv s="3">
    <fb>46058</fb>
    <v>5</v>
  </rv>
  <rv s="3">
    <fb>171.88</fb>
    <v>6</v>
  </rv>
  <rv s="3">
    <fb>46059</fb>
    <v>5</v>
  </rv>
  <rv s="3">
    <fb>185.41</fb>
    <v>6</v>
  </rv>
  <rv s="3">
    <fb>46062</fb>
    <v>5</v>
  </rv>
  <rv s="3">
    <fb>190.04</fb>
    <v>6</v>
  </rv>
  <rv s="3">
    <fb>46063</fb>
    <v>5</v>
  </rv>
  <rv s="3">
    <fb>188.54</fb>
    <v>6</v>
  </rv>
  <rv s="3">
    <fb>46064</fb>
    <v>5</v>
  </rv>
  <rv s="3">
    <fb>190.05</fb>
    <v>6</v>
  </rv>
  <rv s="3">
    <fb>46065</fb>
    <v>5</v>
  </rv>
  <rv s="3">
    <fb>186.94</fb>
    <v>6</v>
  </rv>
  <rv s="3">
    <fb>46066</fb>
    <v>5</v>
  </rv>
  <rv s="3">
    <fb>182.81</fb>
    <v>6</v>
  </rv>
  <rv s="3">
    <fb>46070</fb>
    <v>5</v>
  </rv>
  <rv s="3">
    <fb>46071</fb>
    <v>5</v>
  </rv>
  <rv s="3">
    <fb>187.98</fb>
    <v>6</v>
  </rv>
  <rv s="3">
    <fb>46072</fb>
    <v>5</v>
  </rv>
  <rv s="3">
    <fb>187.9</fb>
    <v>6</v>
  </rv>
  <rv s="3">
    <fb>46073</fb>
    <v>5</v>
  </rv>
  <rv s="3">
    <fb>189.82</fb>
    <v>6</v>
  </rv>
  <rv s="3">
    <fb>46076</fb>
    <v>5</v>
  </rv>
  <rv s="3">
    <fb>191.55</fb>
    <v>6</v>
  </rv>
  <rv s="3">
    <fb>46077</fb>
    <v>5</v>
  </rv>
  <rv s="3">
    <fb>192.85</fb>
    <v>6</v>
  </rv>
  <rv s="3">
    <fb>46078</fb>
    <v>5</v>
  </rv>
  <rv s="3">
    <fb>195.56</fb>
    <v>6</v>
  </rv>
  <rv s="3">
    <fb>46079</fb>
    <v>5</v>
  </rv>
  <rv s="3">
    <fb>184.89</fb>
    <v>6</v>
  </rv>
  <rv s="3">
    <fb>46080</fb>
    <v>5</v>
  </rv>
  <rv s="3">
    <fb>177.19</fb>
    <v>6</v>
  </rv>
  <rv s="3">
    <fb>46083</fb>
    <v>5</v>
  </rv>
  <rv s="3">
    <fb>182.48</fb>
    <v>6</v>
  </rv>
  <rv s="3">
    <fb>46084</fb>
    <v>5</v>
  </rv>
  <rv s="3">
    <fb>180.05</fb>
    <v>6</v>
  </rv>
  <rv s="3">
    <fb>46085</fb>
    <v>5</v>
  </rv>
  <rv s="3">
    <fb>183.04</fb>
    <v>6</v>
  </rv>
  <rv s="3">
    <fb>46086</fb>
    <v>5</v>
  </rv>
  <rv s="3">
    <fb>183.34</fb>
    <v>6</v>
  </rv>
  <rv s="3">
    <fb>46087</fb>
    <v>5</v>
  </rv>
  <rv s="3">
    <fb>46090</fb>
    <v>5</v>
  </rv>
  <rv s="3">
    <fb>182.65</fb>
    <v>6</v>
  </rv>
  <rv s="3">
    <fb>46091</fb>
    <v>5</v>
  </rv>
  <rv s="3">
    <fb>184.77</fb>
    <v>6</v>
  </rv>
  <rv s="3">
    <fb>46092</fb>
    <v>5</v>
  </rv>
  <rv s="3">
    <fb>186.03</fb>
    <v>6</v>
  </rv>
  <rv s="3">
    <fb>46093</fb>
    <v>5</v>
  </rv>
  <rv s="3">
    <fb>46094</fb>
    <v>5</v>
  </rv>
  <rv s="3">
    <fb>180.25</fb>
    <v>6</v>
  </rv>
  <rv s="3">
    <fb>46097</fb>
    <v>5</v>
  </rv>
  <rv s="3">
    <fb>46098</fb>
    <v>5</v>
  </rv>
  <rv s="3">
    <fb>181.93</fb>
    <v>6</v>
  </rv>
  <rv s="3">
    <fb>46099</fb>
    <v>5</v>
  </rv>
  <rv s="3">
    <fb>180.4</fb>
    <v>6</v>
  </rv>
  <rv s="3">
    <fb>46100</fb>
    <v>5</v>
  </rv>
  <rv s="3">
    <fb>178.56</fb>
    <v>6</v>
  </rv>
  <rv s="3">
    <fb>46101</fb>
    <v>5</v>
  </rv>
  <rv s="3">
    <fb>172.7</fb>
    <v>6</v>
  </rv>
  <rv s="3">
    <fb>46104</fb>
    <v>5</v>
  </rv>
  <rv s="3">
    <fb>46105</fb>
    <v>5</v>
  </rv>
  <rv s="3">
    <fb>175.2</fb>
    <v>6</v>
  </rv>
  <rv s="3">
    <fb>46106</fb>
    <v>5</v>
  </rv>
  <rv s="3">
    <fb>178.68</fb>
    <v>6</v>
  </rv>
  <rv s="3">
    <fb>46107</fb>
    <v>5</v>
  </rv>
  <rv s="3">
    <fb>171.24</fb>
    <v>6</v>
  </rv>
  <rv s="3">
    <fb>46108</fb>
    <v>5</v>
  </rv>
  <rv s="3">
    <fb>167.52</fb>
    <v>6</v>
  </rv>
  <rv s="3">
    <fb>46111</fb>
    <v>5</v>
  </rv>
  <rv s="3">
    <fb>165.17</fb>
    <v>6</v>
  </rv>
  <rv s="3">
    <fb>46112</fb>
    <v>5</v>
  </rv>
  <rv s="3">
    <fb>174.4</fb>
    <v>6</v>
  </rv>
  <rv s="3">
    <fb>46113</fb>
    <v>5</v>
  </rv>
  <rv s="3">
    <fb>175.75</fb>
    <v>6</v>
  </rv>
  <rv s="3">
    <fb>46114</fb>
    <v>5</v>
  </rv>
  <rv s="3">
    <fb>177.39</fb>
    <v>6</v>
  </rv>
  <rv s="3">
    <fb>46118</fb>
    <v>5</v>
  </rv>
  <rv s="3">
    <fb>177.64</fb>
    <v>6</v>
  </rv>
  <rv s="3">
    <fb>46119</fb>
    <v>5</v>
  </rv>
  <rv s="3">
    <fb>178.1</fb>
    <v>6</v>
  </rv>
  <rv s="3">
    <fb>46120</fb>
    <v>5</v>
  </rv>
  <rv s="3">
    <fb>182.08</fb>
    <v>6</v>
  </rv>
  <rv s="3">
    <fb>46121</fb>
    <v>5</v>
  </rv>
  <rv s="3">
    <fb>183.91</fb>
    <v>6</v>
  </rv>
  <rv s="3">
    <fb>46122</fb>
    <v>5</v>
  </rv>
  <rv s="3">
    <fb>188.63</fb>
    <v>6</v>
  </rv>
  <rv s="3">
    <fb>46125</fb>
    <v>5</v>
  </rv>
  <rv s="3">
    <fb>189.31</fb>
    <v>6</v>
  </rv>
  <rv s="3">
    <fb>46126</fb>
    <v>5</v>
  </rv>
  <rv s="3">
    <fb>196.51</fb>
    <v>6</v>
  </rv>
  <rv s="3">
    <fb>46127</fb>
    <v>5</v>
  </rv>
  <rv s="3">
    <fb>198.87</fb>
    <v>6</v>
  </rv>
  <rv s="3">
    <fb>46128</fb>
    <v>5</v>
  </rv>
  <rv s="3">
    <fb>198.35</fb>
    <v>6</v>
  </rv>
  <rv s="3">
    <fb>46129</fb>
    <v>5</v>
  </rv>
  <rv s="3">
    <fb>201.68</fb>
    <v>6</v>
  </rv>
  <rv s="3">
    <fb>46132</fb>
    <v>5</v>
  </rv>
  <rv s="3">
    <fb>202.06</fb>
    <v>6</v>
  </rv>
  <rv s="3">
    <fb>46133</fb>
    <v>5</v>
  </rv>
  <rv s="3">
    <fb>199.88</fb>
    <v>6</v>
  </rv>
  <rv s="3">
    <fb>46134</fb>
    <v>5</v>
  </rv>
  <rv s="3">
    <fb>202.5</fb>
    <v>6</v>
  </rv>
  <rv s="3">
    <fb>46135</fb>
    <v>5</v>
  </rv>
  <rv s="3">
    <fb>199.64</fb>
    <v>6</v>
  </rv>
  <rv s="3">
    <fb>46136</fb>
    <v>5</v>
  </rv>
  <rv s="3">
    <fb>208.27</fb>
    <v>6</v>
  </rv>
  <rv s="3">
    <fb>46139</fb>
    <v>5</v>
  </rv>
  <rv s="3">
    <fb>216.61</fb>
    <v>6</v>
  </rv>
  <rv s="3">
    <fb>46140</fb>
    <v>5</v>
  </rv>
  <rv s="3">
    <fb>213.17</fb>
    <v>6</v>
  </rv>
  <rv s="3">
    <fb>46141</fb>
    <v>5</v>
  </rv>
  <rv s="3">
    <fb>209.25</fb>
    <v>6</v>
  </rv>
  <rv s="3">
    <fb>46142</fb>
    <v>5</v>
  </rv>
  <rv s="3">
    <fb>199.57</fb>
    <v>6</v>
  </rv>
  <rv s="3">
    <fb>46143</fb>
    <v>5</v>
  </rv>
  <rv s="3">
    <fb>198.45</fb>
    <v>6</v>
  </rv>
  <rv s="3">
    <fb>46146</fb>
    <v>5</v>
  </rv>
  <rv s="3">
    <fb>198.48</fb>
    <v>6</v>
  </rv>
  <rv s="3">
    <fb>46147</fb>
    <v>5</v>
  </rv>
  <rv s="3">
    <fb>196.5</fb>
    <v>6</v>
  </rv>
  <rv s="3">
    <fb>46148</fb>
    <v>5</v>
  </rv>
  <rv s="3">
    <fb>207.83</fb>
    <v>6</v>
  </rv>
  <rv s="3">
    <fb>46149</fb>
    <v>5</v>
  </rv>
  <rv s="3">
    <fb>211.5</fb>
    <v>6</v>
  </rv>
  <rv s="3">
    <fb>46150</fb>
    <v>5</v>
  </rv>
  <rv s="3">
    <fb>215.2</fb>
    <v>6</v>
  </rv>
  <rv s="3">
    <fb>46153</fb>
    <v>5</v>
  </rv>
  <rv s="3">
    <fb>219.44</fb>
    <v>6</v>
  </rv>
  <rv s="3">
    <fb>46154</fb>
    <v>5</v>
  </rv>
  <rv s="3">
    <fb>220.78</fb>
    <v>6</v>
  </rv>
  <rv s="3">
    <fb>46155</fb>
    <v>5</v>
  </rv>
  <rv s="3">
    <fb>225.83</fb>
    <v>6</v>
  </rv>
  <rv s="3">
    <fb>46156</fb>
    <v>5</v>
  </rv>
  <rv s="3">
    <fb>235.74</fb>
    <v>6</v>
  </rv>
  <rv s="3">
    <fb>46157</fb>
    <v>5</v>
  </rv>
  <rv s="3">
    <fb>225.32</fb>
    <v>6</v>
  </rv>
  <rv s="3">
    <fb>46160</fb>
    <v>5</v>
  </rv>
  <rv s="3">
    <fb>222.32</fb>
    <v>6</v>
  </rv>
  <rv s="3">
    <fb>46161</fb>
    <v>5</v>
  </rv>
  <rv s="3">
    <fb>220.61</fb>
    <v>6</v>
  </rv>
  <rv s="3">
    <fb>46162</fb>
    <v>5</v>
  </rv>
  <rv s="3">
    <fb>223.47</fb>
    <v>6</v>
  </rv>
  <rv s="3">
    <fb>46163</fb>
    <v>5</v>
  </rv>
  <rv s="3">
    <fb>219.51</fb>
    <v>6</v>
  </rv>
  <rv s="3">
    <fb>46164</fb>
    <v>5</v>
  </rv>
  <rv s="3">
    <fb>215.33</fb>
    <v>6</v>
  </rv>
  <rv s="3">
    <fb>46168</fb>
    <v>5</v>
  </rv>
  <rv s="3">
    <fb>214.86</fb>
    <v>6</v>
  </rv>
  <rv s="3">
    <fb>46169</fb>
    <v>5</v>
  </rv>
  <rv s="3">
    <fb>212.6</fb>
    <v>6</v>
  </rv>
  <rv s="3">
    <fb>46170</fb>
    <v>5</v>
  </rv>
  <rv s="3">
    <fb>214.25</fb>
    <v>6</v>
  </rv>
  <rv s="3">
    <fb>46171</fb>
    <v>5</v>
  </rv>
  <rv s="3">
    <fb>211.14</fb>
    <v>6</v>
  </rv>
  <rv s="3">
    <fb>46174</fb>
    <v>5</v>
  </rv>
  <rv s="3">
    <fb>224.36</fb>
    <v>6</v>
  </rv>
  <rv s="3">
    <fb>46175</fb>
    <v>5</v>
  </rv>
  <rv s="3">
    <fb>222.82</fb>
    <v>6</v>
  </rv>
  <rv s="3">
    <fb>46176</fb>
    <v>5</v>
  </rv>
  <rv s="3">
    <fb>214.75</fb>
    <v>6</v>
  </rv>
  <rv s="3">
    <fb>46177</fb>
    <v>5</v>
  </rv>
  <rv s="3">
    <fb>218.66</fb>
    <v>6</v>
  </rv>
  <rv s="3">
    <fb>46178</fb>
    <v>5</v>
  </rv>
  <rv s="3">
    <fb>205.1</fb>
    <v>6</v>
  </rv>
  <rv s="3">
    <fb>46181</fb>
    <v>5</v>
  </rv>
  <rv s="3">
    <fb>208.64</fb>
    <v>6</v>
  </rv>
  <rv s="3">
    <fb>46182</fb>
    <v>5</v>
  </rv>
  <rv s="3">
    <fb>208.19</fb>
    <v>6</v>
  </rv>
  <rv s="3">
    <fb>46183</fb>
    <v>5</v>
  </rv>
  <rv s="3">
    <fb>200.42</fb>
    <v>6</v>
  </rv>
  <rv s="3">
    <fb>46184</fb>
    <v>5</v>
  </rv>
  <rv s="3">
    <fb>204.87</fb>
    <v>6</v>
  </rv>
  <rv s="3">
    <fb>46185</fb>
    <v>5</v>
  </rv>
  <rv s="3">
    <fb>205.19</fb>
    <v>6</v>
  </rv>
  <rv s="3">
    <fb>46188</fb>
    <v>5</v>
  </rv>
  <rv s="3">
    <fb>212.45</fb>
    <v>6</v>
  </rv>
  <rv s="3">
    <fb>46189</fb>
    <v>5</v>
  </rv>
  <rv s="3">
    <fb>207.41</fb>
    <v>6</v>
  </rv>
  <rv s="3">
    <fb>46190</fb>
    <v>5</v>
  </rv>
  <rv s="3">
    <fb>204.65</fb>
    <v>6</v>
  </rv>
  <rv s="3">
    <fb>46191</fb>
    <v>5</v>
  </rv>
  <rv s="3">
    <fb>210.69</fb>
    <v>6</v>
  </rv>
  <rv s="3">
    <fb>46195</fb>
    <v>5</v>
  </rv>
  <rv s="3">
    <fb>208.65</fb>
    <v>6</v>
  </rv>
  <rv s="3">
    <fb>46196</fb>
    <v>5</v>
  </rv>
  <rv s="3">
    <fb>200.04</fb>
    <v>6</v>
  </rv>
  <rv s="3">
    <fb>46197</fb>
    <v>5</v>
  </rv>
  <rv s="3">
    <fb>199</fb>
    <v>6</v>
  </rv>
  <rv s="3">
    <fb>46198</fb>
    <v>5</v>
  </rv>
  <rv s="3">
    <fb>195.74</fb>
    <v>6</v>
  </rv>
  <rv s="3">
    <fb>46199</fb>
    <v>5</v>
  </rv>
  <rv s="3">
    <fb>192.53</fb>
    <v>6</v>
  </rv>
  <rv s="3">
    <fb>46202</fb>
    <v>5</v>
  </rv>
  <rv s="3">
    <fb>194.97</fb>
    <v>6</v>
  </rv>
  <rv s="3">
    <fb>46203</fb>
    <v>5</v>
  </rv>
  <rv s="3">
    <fb>200.09</fb>
    <v>6</v>
  </rv>
  <rv s="3">
    <fb>46204</fb>
    <v>5</v>
  </rv>
  <rv s="3">
    <fb>197.58</fb>
    <v>6</v>
  </rv>
  <rv s="3">
    <fb>46205</fb>
    <v>5</v>
  </rv>
  <rv s="3">
    <fb>194.83</fb>
    <v>6</v>
  </rv>
  <rv s="3">
    <fb>46209</fb>
    <v>5</v>
  </rv>
  <rv s="3">
    <fb>195.55</fb>
    <v>6</v>
  </rv>
  <rv s="3">
    <fb>46210</fb>
    <v>5</v>
  </rv>
  <rv s="3">
    <fb>196.93</fb>
    <v>6</v>
  </rv>
  <rv s="3">
    <fb>46211</fb>
    <v>5</v>
  </rv>
  <rv s="3">
    <fb>204.12</fb>
    <v>6</v>
  </rv>
  <rv s="3">
    <fb>46212</fb>
    <v>5</v>
  </rv>
  <rv s="3">
    <fb>202.78</fb>
    <v>6</v>
  </rv>
  <rv s="3">
    <fb>46213</fb>
    <v>5</v>
  </rv>
  <rv s="3">
    <fb>210.96</fb>
    <v>6</v>
  </rv>
  <rv s="3">
    <fb>46216</fb>
    <v>5</v>
  </rv>
  <rv s="3">
    <fb>203.53</fb>
    <v>6</v>
  </rv>
  <rv s="3">
    <fb>46217</fb>
    <v>5</v>
  </rv>
  <rv s="3">
    <fb>211.8</fb>
    <v>6</v>
  </rv>
  <rv s="3">
    <fb>46218</fb>
    <v>5</v>
  </rv>
  <rv s="3">
    <fb>212.5</fb>
    <v>6</v>
  </rv>
  <rv s="3">
    <fb>46219</fb>
    <v>5</v>
  </rv>
  <rv s="3">
    <fb>207.4</fb>
    <v>6</v>
  </rv>
  <rv s="3">
    <fb>46220</fb>
    <v>5</v>
  </rv>
  <rv s="3">
    <fb>202.81</fb>
    <v>6</v>
  </rv>
  <rv s="3">
    <fb>46223</fb>
    <v>5</v>
  </rv>
  <rv s="3">
    <fb>203.28</fb>
    <v>6</v>
  </rv>
  <rv s="3">
    <fb>46224</fb>
    <v>5</v>
  </rv>
  <rv s="3">
    <fb>207.29</fb>
    <v>6</v>
  </rv>
  <rv s="3">
    <fb>46225</fb>
    <v>5</v>
  </rv>
  <rv s="3">
    <fb>212.06</fb>
    <v>6</v>
  </rv>
  <rv s="3">
    <fb>46226</fb>
    <v>5</v>
  </rv>
  <rv s="3">
    <fb>208.76</fb>
    <v>6</v>
  </rv>
  <rv s="3">
    <fb>46227</fb>
    <v>5</v>
  </rv>
  <rv s="3">
    <fb>206.84</fb>
    <v>6</v>
  </rv>
  <rv s="3">
    <fb>46230</fb>
    <v>5</v>
  </rv>
  <rv s="3">
    <fb>46231</fb>
    <v>5</v>
  </rv>
  <rv s="3">
    <fb>197.01</fb>
    <v>6</v>
  </rv>
  <rv s="3">
    <fb>46232</fb>
    <v>5</v>
  </rv>
  <rv s="3">
    <fb>190.01</fb>
    <v>6</v>
  </rv>
  <rv s="3">
    <fb>46233</fb>
    <v>5</v>
  </rv>
  <rv s="3">
    <fb>195.04</fb>
    <v>6</v>
  </rv>
  <rv s="3">
    <fb>46234</fb>
    <v>5</v>
  </rv>
  <rv s="3">
    <fb>200.75</fb>
    <v>6</v>
  </rv>
  <rv s="3">
    <fb>46237</fb>
    <v>5</v>
  </rv>
  <rv s="3">
    <fb>206.64</fb>
    <v>6</v>
  </rv>
  <rv s="3">
    <fb>46238</fb>
    <v>5</v>
  </rv>
  <rv s="3">
    <fb>211.94</fb>
    <v>6</v>
  </rv>
  <rv s="3">
    <fb>46239</fb>
    <v>5</v>
  </rv>
  <rv s="3">
    <fb>219.22</fb>
    <v>6</v>
  </rv>
  <rv s="3">
    <fb>46240</fb>
    <v>5</v>
  </rv>
  <rv s="3">
    <fb>218.99</fb>
    <v>6</v>
  </rv>
  <rv s="3">
    <fb>46241</fb>
    <v>5</v>
  </rv>
  <rv s="3">
    <fb>223.96</fb>
    <v>6</v>
  </rv>
  <rv s="3">
    <fb>46244</fb>
    <v>5</v>
  </rv>
  <rv s="3">
    <fb>217.55</fb>
    <v>6</v>
  </rv>
  <rv s="3">
    <fb>46245</fb>
    <v>5</v>
  </rv>
  <rv s="3">
    <fb>217.5</fb>
    <v>6</v>
  </rv>
  <rv s="3">
    <fb>46246</fb>
    <v>5</v>
  </rv>
  <rv s="3">
    <fb>224.09</fb>
    <v>6</v>
  </rv>
  <rv s="3">
    <fb>46247</fb>
    <v>5</v>
  </rv>
  <rv s="3">
    <fb>225.3</fb>
    <v>6</v>
  </rv>
  <rv s="3">
    <fb>46248</fb>
    <v>5</v>
  </rv>
  <rv s="3">
    <fb>225.16</fb>
    <v>6</v>
  </rv>
  <rv s="3">
    <fb>46251</fb>
    <v>5</v>
  </rv>
  <rv s="3">
    <fb>225.01</fb>
    <v>6</v>
  </rv>
  <rv s="3">
    <fb>46252</fb>
    <v>5</v>
  </rv>
  <rv s="3">
    <fb>219.74</fb>
    <v>6</v>
  </rv>
  <rv s="3">
    <fb>46253</fb>
    <v>5</v>
  </rv>
  <rv s="3">
    <fb>217.56</fb>
    <v>6</v>
  </rv>
  <rv s="3">
    <fb>46254</fb>
    <v>5</v>
  </rv>
  <rv s="3">
    <fb>216.85</fb>
    <v>6</v>
  </rv>
  <rv s="3">
    <fb>46255</fb>
    <v>5</v>
  </rv>
  <rv s="3">
    <fb>214.72</fb>
    <v>6</v>
  </rv>
  <rv s="3">
    <fb>46258</fb>
    <v>5</v>
  </rv>
  <rv s="3">
    <fb>208.48</fb>
    <v>6</v>
  </rv>
  <rv s="3">
    <fb>46259</fb>
    <v>5</v>
  </rv>
  <rv s="3">
    <fb>213.05</fb>
    <v>6</v>
  </rv>
  <rv s="3">
    <fb>46260</fb>
    <v>5</v>
  </rv>
  <rv s="3">
    <fb>209.66</fb>
    <v>6</v>
  </rv>
  <rv s="3">
    <fb>46261</fb>
    <v>5</v>
  </rv>
  <rv s="3">
    <fb>227.98</fb>
    <v>6</v>
  </rv>
  <rv s="3">
    <fb>46262</fb>
    <v>5</v>
  </rv>
  <rv s="3">
    <fb>46265</fb>
    <v>5</v>
  </rv>
  <rv s="3">
    <fb>46266</fb>
    <v>5</v>
  </rv>
  <rv s="3">
    <fb>217.44</fb>
    <v>6</v>
  </rv>
  <rv s="3">
    <fb>46267</fb>
    <v>5</v>
  </rv>
  <rv s="3">
    <fb>224.41</fb>
    <v>6</v>
  </rv>
  <rv s="3">
    <fb>46268</fb>
    <v>5</v>
  </rv>
  <rv s="3">
    <fb>228.45</fb>
    <v>6</v>
  </rv>
  <rv s="3">
    <fb>46269</fb>
    <v>5</v>
  </rv>
  <rv s="3">
    <fb>230.36</fb>
    <v>6</v>
  </rv>
  <rv s="3">
    <fb>46273</fb>
    <v>5</v>
  </rv>
  <rv s="3">
    <fb>225.73</fb>
    <v>6</v>
  </rv>
  <rv s="3">
    <fb>46274</fb>
    <v>5</v>
  </rv>
  <rv s="3">
    <fb>223.67</fb>
    <v>6</v>
  </rv>
  <rv s="3">
    <fb>46275</fb>
    <v>5</v>
  </rv>
  <rv s="3">
    <fb>218.36</fb>
    <v>6</v>
  </rv>
  <rv s="3">
    <fb>46276</fb>
    <v>5</v>
  </rv>
  <rv s="3">
    <fb>218.29</fb>
    <v>6</v>
  </rv>
  <rv s="3">
    <fb>46279</fb>
    <v>5</v>
  </rv>
  <rv s="3">
    <fb>46280</fb>
    <v>5</v>
  </rv>
  <rv s="3">
    <fb>212.17</fb>
    <v>6</v>
  </rv>
  <rv s="3">
    <fb>46281</fb>
    <v>5</v>
  </rv>
  <rv s="3">
    <fb>213.9</fb>
    <v>6</v>
  </rv>
  <rv s="4">
    <v>7</v>
    <v>a1yv52</v>
    <v>Daily</v>
    <v>43948</v>
    <v>46282</v>
    <v>0</v>
    <v>1</v>
    <v>639251136000000000,639252379440207323,0</v>
    <v>0</v>
    <v>a1yv52</v>
    <v>XNAS:NVDA</v>
    <v>1</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8">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10</v>
    </spb>
    <spb s="5">
      <v>1</v>
    </spb>
    <spb s="6">
      <v>10</v>
      <v>1</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1FCA-5F9F-4F96-B4EE-DDD4899C6DBC}">
  <dimension ref="A1:H27"/>
  <sheetViews>
    <sheetView zoomScale="82" zoomScaleNormal="82" workbookViewId="0">
      <selection activeCell="Q27" sqref="Q27"/>
    </sheetView>
  </sheetViews>
  <sheetFormatPr defaultRowHeight="14.5" x14ac:dyDescent="0.35"/>
  <cols>
    <col min="1" max="1" width="23.1796875" bestFit="1" customWidth="1"/>
    <col min="2" max="2" width="11.90625" bestFit="1" customWidth="1"/>
    <col min="3" max="3" width="9.26953125" bestFit="1" customWidth="1"/>
    <col min="5" max="5" width="19.08984375" bestFit="1" customWidth="1"/>
    <col min="6" max="6" width="13.54296875" bestFit="1" customWidth="1"/>
  </cols>
  <sheetData>
    <row r="1" spans="1:8" ht="16" x14ac:dyDescent="0.4">
      <c r="A1" s="61" t="s">
        <v>97</v>
      </c>
      <c r="B1" s="61"/>
      <c r="C1" s="61"/>
      <c r="D1" s="61"/>
      <c r="E1" s="61"/>
      <c r="F1" s="61"/>
      <c r="G1" s="61"/>
      <c r="H1" s="61"/>
    </row>
    <row r="2" spans="1:8" x14ac:dyDescent="0.35">
      <c r="A2" s="62" t="s">
        <v>98</v>
      </c>
      <c r="B2" s="62"/>
      <c r="C2" s="62"/>
      <c r="D2" s="62"/>
      <c r="E2" s="62"/>
      <c r="F2" s="62"/>
      <c r="G2" s="62"/>
      <c r="H2" s="62"/>
    </row>
    <row r="4" spans="1:8" x14ac:dyDescent="0.35">
      <c r="A4" t="s">
        <v>88</v>
      </c>
      <c r="B4" s="7">
        <f>DCF!P35</f>
        <v>212.17</v>
      </c>
    </row>
    <row r="6" spans="1:8" x14ac:dyDescent="0.35">
      <c r="A6" s="4" t="s">
        <v>99</v>
      </c>
      <c r="B6" s="4" t="s">
        <v>100</v>
      </c>
      <c r="C6" s="4" t="s">
        <v>101</v>
      </c>
      <c r="E6" s="4" t="s">
        <v>108</v>
      </c>
    </row>
    <row r="7" spans="1:8" x14ac:dyDescent="0.35">
      <c r="A7" t="s">
        <v>102</v>
      </c>
      <c r="B7" s="7">
        <f>DCF!K26</f>
        <v>170.86128073177215</v>
      </c>
      <c r="C7" t="s">
        <v>105</v>
      </c>
      <c r="E7" t="s">
        <v>50</v>
      </c>
      <c r="F7" s="6">
        <f>DCF!K21</f>
        <v>4061296929.6722975</v>
      </c>
    </row>
    <row r="8" spans="1:8" x14ac:dyDescent="0.35">
      <c r="A8" t="s">
        <v>103</v>
      </c>
      <c r="B8" s="7">
        <f>DDM!B7</f>
        <v>9.8514402805690207</v>
      </c>
      <c r="C8" t="s">
        <v>106</v>
      </c>
      <c r="E8" t="s">
        <v>87</v>
      </c>
      <c r="F8" s="6">
        <f>DCF!K22</f>
        <v>99369000</v>
      </c>
    </row>
    <row r="9" spans="1:8" x14ac:dyDescent="0.35">
      <c r="A9" t="s">
        <v>104</v>
      </c>
      <c r="B9" s="7">
        <f>DCF!P35</f>
        <v>212.17</v>
      </c>
      <c r="C9" t="s">
        <v>107</v>
      </c>
      <c r="E9" t="s">
        <v>52</v>
      </c>
      <c r="F9" s="6">
        <f>DCF!K23</f>
        <v>34366000</v>
      </c>
    </row>
    <row r="10" spans="1:8" x14ac:dyDescent="0.35">
      <c r="E10" t="s">
        <v>53</v>
      </c>
      <c r="F10" s="6">
        <f>DCF!K24</f>
        <v>4126299929.6722975</v>
      </c>
    </row>
    <row r="11" spans="1:8" x14ac:dyDescent="0.35">
      <c r="E11" t="s">
        <v>54</v>
      </c>
      <c r="F11" s="2">
        <f>DCF!K25</f>
        <v>24150000</v>
      </c>
    </row>
    <row r="12" spans="1:8" x14ac:dyDescent="0.35">
      <c r="A12" s="4" t="s">
        <v>109</v>
      </c>
      <c r="E12" t="s">
        <v>77</v>
      </c>
      <c r="F12" s="7">
        <f>DCF!K26</f>
        <v>170.86128073177215</v>
      </c>
    </row>
    <row r="13" spans="1:8" x14ac:dyDescent="0.35">
      <c r="A13" t="s">
        <v>66</v>
      </c>
      <c r="B13" s="5">
        <f>DCF!P12</f>
        <v>0.14086180830879527</v>
      </c>
    </row>
    <row r="14" spans="1:8" x14ac:dyDescent="0.35">
      <c r="A14" t="s">
        <v>110</v>
      </c>
      <c r="B14" s="12">
        <f>DCF!G8</f>
        <v>0.90469999999999995</v>
      </c>
    </row>
    <row r="15" spans="1:8" x14ac:dyDescent="0.35">
      <c r="A15" t="s">
        <v>111</v>
      </c>
      <c r="B15" s="12">
        <f>DCF!H8</f>
        <v>0.64829999999999999</v>
      </c>
      <c r="E15" s="4" t="s">
        <v>115</v>
      </c>
    </row>
    <row r="16" spans="1:8" x14ac:dyDescent="0.35">
      <c r="A16" t="s">
        <v>112</v>
      </c>
      <c r="B16" s="12">
        <f>DCF!I8</f>
        <v>0.3054</v>
      </c>
      <c r="E16" t="s">
        <v>116</v>
      </c>
      <c r="F16" s="7">
        <f>DCF!K26</f>
        <v>170.86128073177215</v>
      </c>
    </row>
    <row r="17" spans="1:6" x14ac:dyDescent="0.35">
      <c r="A17" t="s">
        <v>113</v>
      </c>
      <c r="B17" s="12">
        <f>DCF!J8</f>
        <v>0.2</v>
      </c>
      <c r="E17" t="s">
        <v>117</v>
      </c>
      <c r="F17" s="7">
        <f>DDM!B7</f>
        <v>9.8514402805690207</v>
      </c>
    </row>
    <row r="18" spans="1:6" x14ac:dyDescent="0.35">
      <c r="A18" t="s">
        <v>114</v>
      </c>
      <c r="B18" s="12">
        <f>DCF!K8</f>
        <v>0.12</v>
      </c>
      <c r="E18" t="s">
        <v>104</v>
      </c>
      <c r="F18" s="7">
        <f>DCF!P35</f>
        <v>212.17</v>
      </c>
    </row>
    <row r="19" spans="1:6" x14ac:dyDescent="0.35">
      <c r="E19" t="s">
        <v>118</v>
      </c>
      <c r="F19" s="5">
        <f>DCF!P36</f>
        <v>-0.19469632496690314</v>
      </c>
    </row>
    <row r="21" spans="1:6" x14ac:dyDescent="0.35">
      <c r="A21" s="4" t="s">
        <v>122</v>
      </c>
    </row>
    <row r="22" spans="1:6" x14ac:dyDescent="0.35">
      <c r="A22" s="7" t="s">
        <v>119</v>
      </c>
      <c r="B22" s="5">
        <f>DCF!N7</f>
        <v>0.14086180830879527</v>
      </c>
      <c r="C22" s="8"/>
      <c r="D22" s="8"/>
      <c r="E22" s="8"/>
      <c r="F22" s="8"/>
    </row>
    <row r="23" spans="1:6" x14ac:dyDescent="0.35">
      <c r="A23" s="8" t="s">
        <v>120</v>
      </c>
      <c r="B23" s="8">
        <f>DCF!M7</f>
        <v>0.04</v>
      </c>
    </row>
    <row r="24" spans="1:6" x14ac:dyDescent="0.35">
      <c r="A24" s="8" t="s">
        <v>121</v>
      </c>
      <c r="B24" s="7">
        <f>DCF!K26</f>
        <v>170.86128073177215</v>
      </c>
    </row>
    <row r="25" spans="1:6" x14ac:dyDescent="0.35">
      <c r="A25" s="8"/>
    </row>
    <row r="26" spans="1:6" x14ac:dyDescent="0.35">
      <c r="A26" s="59" t="s">
        <v>123</v>
      </c>
    </row>
    <row r="27" spans="1:6" x14ac:dyDescent="0.35">
      <c r="A27" s="8"/>
    </row>
  </sheetData>
  <mergeCells count="2">
    <mergeCell ref="A1:H1"/>
    <mergeCell ref="A2:H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9DF2-2C3B-49E1-B42E-858907DEB640}">
  <dimension ref="A1:U1608"/>
  <sheetViews>
    <sheetView tabSelected="1" zoomScale="82" workbookViewId="0"/>
  </sheetViews>
  <sheetFormatPr defaultRowHeight="14.5" x14ac:dyDescent="0.35"/>
  <cols>
    <col min="1" max="1" width="2.90625" customWidth="1"/>
    <col min="2" max="2" width="18.08984375" customWidth="1"/>
    <col min="3" max="3" width="8.90625" customWidth="1"/>
    <col min="4" max="4" width="11" bestFit="1" customWidth="1"/>
    <col min="5" max="5" width="9.26953125" bestFit="1" customWidth="1"/>
    <col min="6" max="6" width="7.54296875" customWidth="1"/>
    <col min="7" max="7" width="10.08984375" bestFit="1" customWidth="1"/>
    <col min="8" max="8" width="13.81640625" bestFit="1" customWidth="1"/>
    <col min="14" max="14" width="10.90625" bestFit="1" customWidth="1"/>
    <col min="15" max="15" width="16.7265625" bestFit="1" customWidth="1"/>
    <col min="16" max="16" width="14.1796875" bestFit="1" customWidth="1"/>
    <col min="17" max="17" width="14" bestFit="1" customWidth="1"/>
    <col min="18" max="18" width="14.36328125" bestFit="1" customWidth="1"/>
  </cols>
  <sheetData>
    <row r="1" spans="1:21" x14ac:dyDescent="0.35">
      <c r="A1" t="e" vm="1">
        <v>#VALUE!</v>
      </c>
      <c r="B1" s="19"/>
      <c r="M1" s="4" t="s">
        <v>0</v>
      </c>
      <c r="N1" s="4" t="s">
        <v>5</v>
      </c>
      <c r="O1" s="4" t="s">
        <v>4</v>
      </c>
      <c r="P1" s="4" t="s">
        <v>3</v>
      </c>
      <c r="Q1" s="4" t="s">
        <v>2</v>
      </c>
      <c r="R1" s="4" t="s">
        <v>1</v>
      </c>
      <c r="U1" s="4"/>
    </row>
    <row r="2" spans="1:21" x14ac:dyDescent="0.35">
      <c r="C2" s="4" t="s">
        <v>0</v>
      </c>
      <c r="D2" s="4" t="str" cm="1">
        <f t="array" aca="1" ref="D2:E1608" ca="1">_xlfn.STOCKHISTORY(A1,DATE(2020,4,27),TODAY(),0,1,0,1)</f>
        <v>Date</v>
      </c>
      <c r="E2" s="4" t="str">
        <f ca="1"/>
        <v>Close</v>
      </c>
      <c r="F2" s="4" t="s">
        <v>32</v>
      </c>
      <c r="G2" s="4" t="s">
        <v>1</v>
      </c>
      <c r="H2" s="4" t="s">
        <v>33</v>
      </c>
      <c r="I2" s="4" t="s">
        <v>34</v>
      </c>
      <c r="J2" s="4" t="s">
        <v>35</v>
      </c>
      <c r="K2" s="4" t="s">
        <v>36</v>
      </c>
      <c r="M2" t="s">
        <v>6</v>
      </c>
      <c r="N2" s="1">
        <v>43947</v>
      </c>
      <c r="O2" s="2">
        <v>24600000</v>
      </c>
      <c r="P2" s="6">
        <v>917000</v>
      </c>
      <c r="Q2" s="2">
        <v>3080000</v>
      </c>
      <c r="R2" s="2">
        <v>13100000</v>
      </c>
    </row>
    <row r="3" spans="1:21" x14ac:dyDescent="0.35">
      <c r="C3" t="str">
        <f t="shared" ref="C3:C66" ca="1" si="0">LOOKUP(D3,$N$2:$N$27,$M$2:$M$27)</f>
        <v>1Q2020</v>
      </c>
      <c r="D3" vm="2">
        <f ca="1"/>
        <v>43948</v>
      </c>
      <c r="E3" vm="3">
        <f ca="1"/>
        <v>7.4269999999999996</v>
      </c>
      <c r="F3" s="3">
        <f ca="1">VLOOKUP($C3,$M$2:$R$27,4,0)/VLOOKUP($C3,$M$2:$R$27,3,0)</f>
        <v>3.7276422764227643E-2</v>
      </c>
      <c r="G3" s="3">
        <f ca="1">VLOOKUP($C3,$M$2:$R$27,6,0)/VLOOKUP($C3,$M$2:$R$27,3,0)</f>
        <v>0.53252032520325199</v>
      </c>
      <c r="H3" s="3">
        <f ca="1">VLOOKUP($C3,$M$2:$R$27,5,0)/VLOOKUP($C3,$M$2:$R$27,3,0)</f>
        <v>0.12520325203252033</v>
      </c>
      <c r="I3" s="3">
        <f ca="1">$E3/(F3*4)</f>
        <v>49.810305343511445</v>
      </c>
      <c r="J3" s="3">
        <f ca="1">$E3/(G3*4)</f>
        <v>3.4867213740458016</v>
      </c>
      <c r="K3" s="3">
        <f ca="1">$E3/(H3*4)</f>
        <v>14.829886363636362</v>
      </c>
      <c r="M3" t="s">
        <v>13</v>
      </c>
      <c r="N3" s="1">
        <v>44038</v>
      </c>
      <c r="O3" s="2">
        <v>24680000</v>
      </c>
      <c r="P3" s="6">
        <v>622000</v>
      </c>
      <c r="Q3" s="2">
        <v>3866000</v>
      </c>
      <c r="R3" s="2">
        <v>13910000</v>
      </c>
    </row>
    <row r="4" spans="1:21" x14ac:dyDescent="0.35">
      <c r="C4" t="str">
        <f t="shared" ca="1" si="0"/>
        <v>1Q2020</v>
      </c>
      <c r="D4" vm="4">
        <f ca="1"/>
        <v>43949</v>
      </c>
      <c r="E4" vm="5">
        <f ca="1"/>
        <v>7.2839999999999998</v>
      </c>
      <c r="F4" s="3">
        <f t="shared" ref="F4:F67" ca="1" si="1">VLOOKUP($C4,$M$2:$R$27,4,0)/VLOOKUP($C4,$M$2:$R$27,3,0)</f>
        <v>3.7276422764227643E-2</v>
      </c>
      <c r="G4" s="3">
        <f t="shared" ref="G4:G67" ca="1" si="2">VLOOKUP($C4,$M$2:$R$27,6,0)/VLOOKUP($C4,$M$2:$R$27,3,0)</f>
        <v>0.53252032520325199</v>
      </c>
      <c r="H4" s="3">
        <f t="shared" ref="H4:H67" ca="1" si="3">VLOOKUP($C4,$M$2:$R$27,5,0)/VLOOKUP($C4,$M$2:$R$27,3,0)</f>
        <v>0.12520325203252033</v>
      </c>
      <c r="I4" s="3">
        <f t="shared" ref="I4:I67" ca="1" si="4">$E4/(F4*4)</f>
        <v>48.851254089422028</v>
      </c>
      <c r="J4" s="3">
        <f t="shared" ref="J4:J67" ca="1" si="5">$E4/(G4*4)</f>
        <v>3.4195877862595423</v>
      </c>
      <c r="K4" s="3">
        <f t="shared" ref="K4:K67" ca="1" si="6">$E4/(H4*4)</f>
        <v>14.544350649350648</v>
      </c>
      <c r="M4" t="s">
        <v>14</v>
      </c>
      <c r="N4" s="1">
        <v>44129</v>
      </c>
      <c r="O4" s="2">
        <v>24760000</v>
      </c>
      <c r="P4" s="6">
        <v>1336000</v>
      </c>
      <c r="Q4" s="2">
        <v>4726000</v>
      </c>
      <c r="R4" s="2">
        <v>15330000</v>
      </c>
    </row>
    <row r="5" spans="1:21" x14ac:dyDescent="0.35">
      <c r="C5" t="str">
        <f t="shared" ca="1" si="0"/>
        <v>1Q2020</v>
      </c>
      <c r="D5" vm="6">
        <f ca="1"/>
        <v>43950</v>
      </c>
      <c r="E5" vm="7">
        <f ca="1"/>
        <v>7.4615</v>
      </c>
      <c r="F5" s="3">
        <f t="shared" ca="1" si="1"/>
        <v>3.7276422764227643E-2</v>
      </c>
      <c r="G5" s="3">
        <f t="shared" ca="1" si="2"/>
        <v>0.53252032520325199</v>
      </c>
      <c r="H5" s="3">
        <f t="shared" ca="1" si="3"/>
        <v>0.12520325203252033</v>
      </c>
      <c r="I5" s="3">
        <f t="shared" ca="1" si="4"/>
        <v>50.041684841875679</v>
      </c>
      <c r="J5" s="3">
        <f t="shared" ca="1" si="5"/>
        <v>3.5029179389312981</v>
      </c>
      <c r="K5" s="3">
        <f t="shared" ca="1" si="6"/>
        <v>14.898774350649349</v>
      </c>
      <c r="M5" t="s">
        <v>15</v>
      </c>
      <c r="N5" s="1">
        <v>44227</v>
      </c>
      <c r="O5" s="2">
        <v>24800000</v>
      </c>
      <c r="P5" s="6">
        <v>1457000</v>
      </c>
      <c r="Q5" s="2">
        <v>5003000</v>
      </c>
      <c r="R5" s="2">
        <v>16890000</v>
      </c>
    </row>
    <row r="6" spans="1:21" x14ac:dyDescent="0.35">
      <c r="C6" t="str">
        <f t="shared" ca="1" si="0"/>
        <v>1Q2020</v>
      </c>
      <c r="D6" vm="8">
        <f ca="1"/>
        <v>43951</v>
      </c>
      <c r="E6" vm="9">
        <f ca="1"/>
        <v>7.3070000000000004</v>
      </c>
      <c r="F6" s="3">
        <f t="shared" ca="1" si="1"/>
        <v>3.7276422764227643E-2</v>
      </c>
      <c r="G6" s="3">
        <f t="shared" ca="1" si="2"/>
        <v>0.53252032520325199</v>
      </c>
      <c r="H6" s="3">
        <f t="shared" ca="1" si="3"/>
        <v>0.12520325203252033</v>
      </c>
      <c r="I6" s="3">
        <f t="shared" ca="1" si="4"/>
        <v>49.00550708833152</v>
      </c>
      <c r="J6" s="3">
        <f t="shared" ca="1" si="5"/>
        <v>3.4303854961832068</v>
      </c>
      <c r="K6" s="3">
        <f t="shared" ca="1" si="6"/>
        <v>14.590275974025973</v>
      </c>
      <c r="M6" t="s">
        <v>7</v>
      </c>
      <c r="N6" s="1">
        <v>44318</v>
      </c>
      <c r="O6" s="2">
        <v>24920000</v>
      </c>
      <c r="P6" s="6">
        <v>1912000</v>
      </c>
      <c r="Q6" s="2">
        <v>5661000</v>
      </c>
      <c r="R6" s="2">
        <v>18770000</v>
      </c>
    </row>
    <row r="7" spans="1:21" x14ac:dyDescent="0.35">
      <c r="C7" t="str">
        <f t="shared" ca="1" si="0"/>
        <v>1Q2020</v>
      </c>
      <c r="D7" vm="10">
        <f ca="1"/>
        <v>43952</v>
      </c>
      <c r="E7" vm="11">
        <f ca="1"/>
        <v>7.0694999999999997</v>
      </c>
      <c r="F7" s="3">
        <f t="shared" ca="1" si="1"/>
        <v>3.7276422764227643E-2</v>
      </c>
      <c r="G7" s="3">
        <f t="shared" ca="1" si="2"/>
        <v>0.53252032520325199</v>
      </c>
      <c r="H7" s="3">
        <f t="shared" ca="1" si="3"/>
        <v>0.12520325203252033</v>
      </c>
      <c r="I7" s="3">
        <f t="shared" ca="1" si="4"/>
        <v>47.412677208287889</v>
      </c>
      <c r="J7" s="3">
        <f t="shared" ca="1" si="5"/>
        <v>3.3188874045801526</v>
      </c>
      <c r="K7" s="3">
        <f t="shared" ca="1" si="6"/>
        <v>14.116047077922076</v>
      </c>
      <c r="M7" t="s">
        <v>8</v>
      </c>
      <c r="N7" s="1">
        <v>44409</v>
      </c>
      <c r="O7" s="2">
        <v>24960000</v>
      </c>
      <c r="P7" s="6">
        <v>2374000</v>
      </c>
      <c r="Q7" s="2">
        <v>6507000</v>
      </c>
      <c r="R7" s="2">
        <v>21150000</v>
      </c>
    </row>
    <row r="8" spans="1:21" x14ac:dyDescent="0.35">
      <c r="C8" t="str">
        <f t="shared" ca="1" si="0"/>
        <v>1Q2020</v>
      </c>
      <c r="D8" vm="12">
        <f ca="1"/>
        <v>43955</v>
      </c>
      <c r="E8" vm="13">
        <f ca="1"/>
        <v>7.2820999999999998</v>
      </c>
      <c r="F8" s="3">
        <f t="shared" ca="1" si="1"/>
        <v>3.7276422764227643E-2</v>
      </c>
      <c r="G8" s="3">
        <f t="shared" ca="1" si="2"/>
        <v>0.53252032520325199</v>
      </c>
      <c r="H8" s="3">
        <f t="shared" ca="1" si="3"/>
        <v>0.12520325203252033</v>
      </c>
      <c r="I8" s="3">
        <f t="shared" ca="1" si="4"/>
        <v>48.838511450381674</v>
      </c>
      <c r="J8" s="3">
        <f t="shared" ca="1" si="5"/>
        <v>3.4186958015267179</v>
      </c>
      <c r="K8" s="3">
        <f t="shared" ca="1" si="6"/>
        <v>14.540556818181816</v>
      </c>
      <c r="M8" t="s">
        <v>16</v>
      </c>
      <c r="N8" s="1">
        <v>44500</v>
      </c>
      <c r="O8" s="2">
        <v>25020000</v>
      </c>
      <c r="P8" s="6">
        <v>2464000</v>
      </c>
      <c r="Q8" s="2">
        <v>7103000</v>
      </c>
      <c r="R8" s="2">
        <v>23800000</v>
      </c>
    </row>
    <row r="9" spans="1:21" x14ac:dyDescent="0.35">
      <c r="C9" t="str">
        <f t="shared" ca="1" si="0"/>
        <v>1Q2020</v>
      </c>
      <c r="D9" vm="14">
        <f ca="1"/>
        <v>43956</v>
      </c>
      <c r="E9" vm="15">
        <f ca="1"/>
        <v>7.3434999999999997</v>
      </c>
      <c r="F9" s="3">
        <f t="shared" ca="1" si="1"/>
        <v>3.7276422764227643E-2</v>
      </c>
      <c r="G9" s="3">
        <f t="shared" ca="1" si="2"/>
        <v>0.53252032520325199</v>
      </c>
      <c r="H9" s="3">
        <f t="shared" ca="1" si="3"/>
        <v>0.12520325203252033</v>
      </c>
      <c r="I9" s="3">
        <f t="shared" ca="1" si="4"/>
        <v>49.250299890948746</v>
      </c>
      <c r="J9" s="3">
        <f t="shared" ca="1" si="5"/>
        <v>3.4475209923664125</v>
      </c>
      <c r="K9" s="3">
        <f t="shared" ca="1" si="6"/>
        <v>14.663157467532466</v>
      </c>
      <c r="M9" t="s">
        <v>17</v>
      </c>
      <c r="N9" s="1">
        <v>44591</v>
      </c>
      <c r="O9" s="2">
        <v>25060000</v>
      </c>
      <c r="P9" s="6">
        <v>3002000</v>
      </c>
      <c r="Q9" s="2">
        <v>7643000</v>
      </c>
      <c r="R9" s="2">
        <v>26610000</v>
      </c>
    </row>
    <row r="10" spans="1:21" x14ac:dyDescent="0.35">
      <c r="C10" t="str">
        <f t="shared" ca="1" si="0"/>
        <v>1Q2020</v>
      </c>
      <c r="D10" vm="16">
        <f ca="1"/>
        <v>43957</v>
      </c>
      <c r="E10" vm="17">
        <f ca="1"/>
        <v>7.4447999999999999</v>
      </c>
      <c r="F10" s="3">
        <f t="shared" ca="1" si="1"/>
        <v>3.7276422764227643E-2</v>
      </c>
      <c r="G10" s="3">
        <f t="shared" ca="1" si="2"/>
        <v>0.53252032520325199</v>
      </c>
      <c r="H10" s="3">
        <f t="shared" ca="1" si="3"/>
        <v>0.12520325203252033</v>
      </c>
      <c r="I10" s="3">
        <f t="shared" ca="1" si="4"/>
        <v>49.929683751363136</v>
      </c>
      <c r="J10" s="3">
        <f t="shared" ca="1" si="5"/>
        <v>3.4950778625954202</v>
      </c>
      <c r="K10" s="3">
        <f t="shared" ca="1" si="6"/>
        <v>14.86542857142857</v>
      </c>
      <c r="M10" t="s">
        <v>18</v>
      </c>
      <c r="N10" s="1">
        <v>44682</v>
      </c>
      <c r="O10" s="2">
        <v>25040000</v>
      </c>
      <c r="P10" s="6">
        <v>1618000</v>
      </c>
      <c r="Q10" s="2">
        <v>8288000</v>
      </c>
      <c r="R10" s="2">
        <v>26320000</v>
      </c>
    </row>
    <row r="11" spans="1:21" x14ac:dyDescent="0.35">
      <c r="C11" t="str">
        <f t="shared" ca="1" si="0"/>
        <v>1Q2020</v>
      </c>
      <c r="D11" vm="18">
        <f ca="1"/>
        <v>43958</v>
      </c>
      <c r="E11" vm="19">
        <f ca="1"/>
        <v>7.6218000000000004</v>
      </c>
      <c r="F11" s="3">
        <f t="shared" ca="1" si="1"/>
        <v>3.7276422764227643E-2</v>
      </c>
      <c r="G11" s="3">
        <f t="shared" ca="1" si="2"/>
        <v>0.53252032520325199</v>
      </c>
      <c r="H11" s="3">
        <f t="shared" ca="1" si="3"/>
        <v>0.12520325203252033</v>
      </c>
      <c r="I11" s="3">
        <f t="shared" ca="1" si="4"/>
        <v>51.116761177753546</v>
      </c>
      <c r="J11" s="3">
        <f t="shared" ca="1" si="5"/>
        <v>3.5781732824427483</v>
      </c>
      <c r="K11" s="3">
        <f t="shared" ca="1" si="6"/>
        <v>15.218853896103896</v>
      </c>
      <c r="M11" t="s">
        <v>9</v>
      </c>
      <c r="N11" s="1">
        <v>44773</v>
      </c>
      <c r="O11" s="2">
        <v>24890000</v>
      </c>
      <c r="P11" s="6">
        <v>656000</v>
      </c>
      <c r="Q11" s="2">
        <v>6704000</v>
      </c>
      <c r="R11" s="2">
        <v>23850000</v>
      </c>
    </row>
    <row r="12" spans="1:21" x14ac:dyDescent="0.35">
      <c r="C12" t="str">
        <f t="shared" ca="1" si="0"/>
        <v>1Q2020</v>
      </c>
      <c r="D12" vm="20">
        <f ca="1"/>
        <v>43959</v>
      </c>
      <c r="E12" vm="21">
        <f ca="1"/>
        <v>7.8125</v>
      </c>
      <c r="F12" s="3">
        <f t="shared" ca="1" si="1"/>
        <v>3.7276422764227643E-2</v>
      </c>
      <c r="G12" s="3">
        <f t="shared" ca="1" si="2"/>
        <v>0.53252032520325199</v>
      </c>
      <c r="H12" s="3">
        <f t="shared" ca="1" si="3"/>
        <v>0.12520325203252033</v>
      </c>
      <c r="I12" s="3">
        <f t="shared" ca="1" si="4"/>
        <v>52.395719738276988</v>
      </c>
      <c r="J12" s="3">
        <f t="shared" ca="1" si="5"/>
        <v>3.6677003816793898</v>
      </c>
      <c r="K12" s="3">
        <f t="shared" ca="1" si="6"/>
        <v>15.59963474025974</v>
      </c>
      <c r="M12" t="s">
        <v>19</v>
      </c>
      <c r="N12" s="1">
        <v>44864</v>
      </c>
      <c r="O12" s="2">
        <v>24680000</v>
      </c>
      <c r="P12" s="6">
        <v>680000</v>
      </c>
      <c r="Q12" s="2">
        <v>5931000</v>
      </c>
      <c r="R12" s="2">
        <v>21350000</v>
      </c>
    </row>
    <row r="13" spans="1:21" x14ac:dyDescent="0.35">
      <c r="C13" t="str">
        <f t="shared" ca="1" si="0"/>
        <v>1Q2020</v>
      </c>
      <c r="D13" vm="22">
        <f ca="1"/>
        <v>43962</v>
      </c>
      <c r="E13" vm="23">
        <f ca="1"/>
        <v>8.0655000000000001</v>
      </c>
      <c r="F13" s="3">
        <f t="shared" ca="1" si="1"/>
        <v>3.7276422764227643E-2</v>
      </c>
      <c r="G13" s="3">
        <f t="shared" ca="1" si="2"/>
        <v>0.53252032520325199</v>
      </c>
      <c r="H13" s="3">
        <f t="shared" ca="1" si="3"/>
        <v>0.12520325203252033</v>
      </c>
      <c r="I13" s="3">
        <f t="shared" ca="1" si="4"/>
        <v>54.092502726281353</v>
      </c>
      <c r="J13" s="3">
        <f t="shared" ca="1" si="5"/>
        <v>3.786475190839695</v>
      </c>
      <c r="K13" s="3">
        <f t="shared" ca="1" si="6"/>
        <v>16.104813311688311</v>
      </c>
      <c r="M13" t="s">
        <v>20</v>
      </c>
      <c r="N13" s="1">
        <v>44955</v>
      </c>
      <c r="O13" s="2">
        <v>24660000</v>
      </c>
      <c r="P13" s="6">
        <v>1414000</v>
      </c>
      <c r="Q13" s="2">
        <v>6051000</v>
      </c>
      <c r="R13" s="2">
        <v>22100000</v>
      </c>
    </row>
    <row r="14" spans="1:21" x14ac:dyDescent="0.35">
      <c r="C14" t="str">
        <f t="shared" ca="1" si="0"/>
        <v>1Q2020</v>
      </c>
      <c r="D14" vm="24">
        <f ca="1"/>
        <v>43963</v>
      </c>
      <c r="E14" vm="25">
        <f ca="1"/>
        <v>7.8025000000000002</v>
      </c>
      <c r="F14" s="3">
        <f t="shared" ca="1" si="1"/>
        <v>3.7276422764227643E-2</v>
      </c>
      <c r="G14" s="3">
        <f t="shared" ca="1" si="2"/>
        <v>0.53252032520325199</v>
      </c>
      <c r="H14" s="3">
        <f t="shared" ca="1" si="3"/>
        <v>0.12520325203252033</v>
      </c>
      <c r="I14" s="3">
        <f t="shared" ca="1" si="4"/>
        <v>52.328653217011997</v>
      </c>
      <c r="J14" s="3">
        <f t="shared" ca="1" si="5"/>
        <v>3.6630057251908399</v>
      </c>
      <c r="K14" s="3">
        <f t="shared" ca="1" si="6"/>
        <v>15.579667207792207</v>
      </c>
      <c r="M14" t="s">
        <v>21</v>
      </c>
      <c r="N14" s="1">
        <v>45046</v>
      </c>
      <c r="O14" s="2">
        <v>24730000</v>
      </c>
      <c r="P14" s="6">
        <v>2043000</v>
      </c>
      <c r="Q14" s="2">
        <v>7192000</v>
      </c>
      <c r="R14" s="2">
        <v>24520000</v>
      </c>
    </row>
    <row r="15" spans="1:21" x14ac:dyDescent="0.35">
      <c r="C15" t="str">
        <f t="shared" ca="1" si="0"/>
        <v>1Q2020</v>
      </c>
      <c r="D15" vm="26">
        <f ca="1"/>
        <v>43964</v>
      </c>
      <c r="E15" vm="27">
        <f ca="1"/>
        <v>7.78</v>
      </c>
      <c r="F15" s="3">
        <f t="shared" ca="1" si="1"/>
        <v>3.7276422764227643E-2</v>
      </c>
      <c r="G15" s="3">
        <f t="shared" ca="1" si="2"/>
        <v>0.53252032520325199</v>
      </c>
      <c r="H15" s="3">
        <f t="shared" ca="1" si="3"/>
        <v>0.12520325203252033</v>
      </c>
      <c r="I15" s="3">
        <f t="shared" ca="1" si="4"/>
        <v>52.177753544165761</v>
      </c>
      <c r="J15" s="3">
        <f t="shared" ca="1" si="5"/>
        <v>3.6524427480916035</v>
      </c>
      <c r="K15" s="3">
        <f t="shared" ca="1" si="6"/>
        <v>15.534740259740259</v>
      </c>
      <c r="M15" t="s">
        <v>10</v>
      </c>
      <c r="N15" s="1">
        <v>45137</v>
      </c>
      <c r="O15" s="2">
        <v>24690000</v>
      </c>
      <c r="P15" s="6">
        <v>6188000</v>
      </c>
      <c r="Q15" s="2">
        <v>13507000</v>
      </c>
      <c r="R15" s="2">
        <v>27500000</v>
      </c>
    </row>
    <row r="16" spans="1:21" x14ac:dyDescent="0.35">
      <c r="C16" t="str">
        <f t="shared" ca="1" si="0"/>
        <v>1Q2020</v>
      </c>
      <c r="D16" vm="28">
        <f ca="1"/>
        <v>43965</v>
      </c>
      <c r="E16" vm="29">
        <f ca="1"/>
        <v>8.0305</v>
      </c>
      <c r="F16" s="3">
        <f t="shared" ca="1" si="1"/>
        <v>3.7276422764227643E-2</v>
      </c>
      <c r="G16" s="3">
        <f t="shared" ca="1" si="2"/>
        <v>0.53252032520325199</v>
      </c>
      <c r="H16" s="3">
        <f t="shared" ca="1" si="3"/>
        <v>0.12520325203252033</v>
      </c>
      <c r="I16" s="3">
        <f t="shared" ca="1" si="4"/>
        <v>53.857769901853871</v>
      </c>
      <c r="J16" s="3">
        <f t="shared" ca="1" si="5"/>
        <v>3.7700438931297713</v>
      </c>
      <c r="K16" s="3">
        <f t="shared" ca="1" si="6"/>
        <v>16.034926948051947</v>
      </c>
      <c r="M16" t="s">
        <v>11</v>
      </c>
      <c r="N16" s="1">
        <v>45228</v>
      </c>
      <c r="O16" s="2">
        <v>24660000</v>
      </c>
      <c r="P16" s="6">
        <v>9243000</v>
      </c>
      <c r="Q16" s="2">
        <v>18120000</v>
      </c>
      <c r="R16" s="2">
        <v>33260000</v>
      </c>
    </row>
    <row r="17" spans="3:18" x14ac:dyDescent="0.35">
      <c r="C17" t="str">
        <f t="shared" ca="1" si="0"/>
        <v>1Q2020</v>
      </c>
      <c r="D17" vm="30">
        <f ca="1"/>
        <v>43966</v>
      </c>
      <c r="E17" vm="31">
        <f ca="1"/>
        <v>8.4908000000000001</v>
      </c>
      <c r="F17" s="3">
        <f t="shared" ca="1" si="1"/>
        <v>3.7276422764227643E-2</v>
      </c>
      <c r="G17" s="3">
        <f t="shared" ca="1" si="2"/>
        <v>0.53252032520325199</v>
      </c>
      <c r="H17" s="3">
        <f t="shared" ca="1" si="3"/>
        <v>0.12520325203252033</v>
      </c>
      <c r="I17" s="3">
        <f t="shared" ca="1" si="4"/>
        <v>56.944841875681568</v>
      </c>
      <c r="J17" s="3">
        <f t="shared" ca="1" si="5"/>
        <v>3.9861389312977105</v>
      </c>
      <c r="K17" s="3">
        <f t="shared" ca="1" si="6"/>
        <v>16.954032467532468</v>
      </c>
      <c r="M17" t="s">
        <v>26</v>
      </c>
      <c r="N17" s="1">
        <v>45319</v>
      </c>
      <c r="O17" s="2">
        <v>24640000</v>
      </c>
      <c r="P17" s="6">
        <v>12286000</v>
      </c>
      <c r="Q17" s="2">
        <v>22103000</v>
      </c>
      <c r="R17" s="2">
        <v>42980000</v>
      </c>
    </row>
    <row r="18" spans="3:18" x14ac:dyDescent="0.35">
      <c r="C18" t="str">
        <f t="shared" ca="1" si="0"/>
        <v>1Q2020</v>
      </c>
      <c r="D18" vm="32">
        <f ca="1"/>
        <v>43969</v>
      </c>
      <c r="E18" vm="33">
        <f ca="1"/>
        <v>8.7502999999999993</v>
      </c>
      <c r="F18" s="3">
        <f t="shared" ca="1" si="1"/>
        <v>3.7276422764227643E-2</v>
      </c>
      <c r="G18" s="3">
        <f t="shared" ca="1" si="2"/>
        <v>0.53252032520325199</v>
      </c>
      <c r="H18" s="3">
        <f t="shared" ca="1" si="3"/>
        <v>0.12520325203252033</v>
      </c>
      <c r="I18" s="3">
        <f t="shared" ca="1" si="4"/>
        <v>58.685218102508173</v>
      </c>
      <c r="J18" s="3">
        <f t="shared" ca="1" si="5"/>
        <v>4.1079652671755724</v>
      </c>
      <c r="K18" s="3">
        <f t="shared" ca="1" si="6"/>
        <v>17.472189935064932</v>
      </c>
      <c r="M18" t="s">
        <v>22</v>
      </c>
      <c r="N18" s="1">
        <v>45410</v>
      </c>
      <c r="O18" s="2">
        <v>24590000</v>
      </c>
      <c r="P18" s="6">
        <v>14881000</v>
      </c>
      <c r="Q18" s="2">
        <v>26044000</v>
      </c>
      <c r="R18" s="2">
        <v>49140000</v>
      </c>
    </row>
    <row r="19" spans="3:18" x14ac:dyDescent="0.35">
      <c r="C19" t="str">
        <f t="shared" ca="1" si="0"/>
        <v>1Q2020</v>
      </c>
      <c r="D19" vm="34">
        <f ca="1"/>
        <v>43970</v>
      </c>
      <c r="E19" vm="35">
        <f ca="1"/>
        <v>8.8055000000000003</v>
      </c>
      <c r="F19" s="3">
        <f t="shared" ca="1" si="1"/>
        <v>3.7276422764227643E-2</v>
      </c>
      <c r="G19" s="3">
        <f t="shared" ca="1" si="2"/>
        <v>0.53252032520325199</v>
      </c>
      <c r="H19" s="3">
        <f t="shared" ca="1" si="3"/>
        <v>0.12520325203252033</v>
      </c>
      <c r="I19" s="3">
        <f t="shared" ca="1" si="4"/>
        <v>59.055425299890949</v>
      </c>
      <c r="J19" s="3">
        <f t="shared" ca="1" si="5"/>
        <v>4.1338797709923671</v>
      </c>
      <c r="K19" s="3">
        <f t="shared" ca="1" si="6"/>
        <v>17.582410714285714</v>
      </c>
      <c r="M19" t="s">
        <v>29</v>
      </c>
      <c r="N19" s="1">
        <v>45501</v>
      </c>
      <c r="O19" s="2">
        <v>24560000</v>
      </c>
      <c r="P19" s="6">
        <v>16599000</v>
      </c>
      <c r="Q19" s="2">
        <v>30040000</v>
      </c>
      <c r="R19" s="2">
        <v>58160000</v>
      </c>
    </row>
    <row r="20" spans="3:18" x14ac:dyDescent="0.35">
      <c r="C20" t="str">
        <f t="shared" ca="1" si="0"/>
        <v>1Q2020</v>
      </c>
      <c r="D20" vm="36">
        <f ca="1"/>
        <v>43971</v>
      </c>
      <c r="E20" vm="37">
        <f ca="1"/>
        <v>8.9700000000000006</v>
      </c>
      <c r="F20" s="3">
        <f t="shared" ca="1" si="1"/>
        <v>3.7276422764227643E-2</v>
      </c>
      <c r="G20" s="3">
        <f t="shared" ca="1" si="2"/>
        <v>0.53252032520325199</v>
      </c>
      <c r="H20" s="3">
        <f t="shared" ca="1" si="3"/>
        <v>0.12520325203252033</v>
      </c>
      <c r="I20" s="3">
        <f t="shared" ca="1" si="4"/>
        <v>60.158669574700113</v>
      </c>
      <c r="J20" s="3">
        <f t="shared" ca="1" si="5"/>
        <v>4.211106870229008</v>
      </c>
      <c r="K20" s="3">
        <f t="shared" ca="1" si="6"/>
        <v>17.910876623376623</v>
      </c>
      <c r="M20" t="s">
        <v>30</v>
      </c>
      <c r="N20" s="1">
        <v>45592</v>
      </c>
      <c r="O20" s="2">
        <v>24510000</v>
      </c>
      <c r="P20" s="6">
        <v>19309000</v>
      </c>
      <c r="Q20" s="2">
        <v>35082000</v>
      </c>
      <c r="R20" s="2">
        <v>65900000</v>
      </c>
    </row>
    <row r="21" spans="3:18" x14ac:dyDescent="0.35">
      <c r="C21" t="str">
        <f t="shared" ca="1" si="0"/>
        <v>1Q2020</v>
      </c>
      <c r="D21" vm="38">
        <f ca="1"/>
        <v>43972</v>
      </c>
      <c r="E21" vm="39">
        <f ca="1"/>
        <v>8.7752999999999997</v>
      </c>
      <c r="F21" s="3">
        <f t="shared" ca="1" si="1"/>
        <v>3.7276422764227643E-2</v>
      </c>
      <c r="G21" s="3">
        <f t="shared" ca="1" si="2"/>
        <v>0.53252032520325199</v>
      </c>
      <c r="H21" s="3">
        <f t="shared" ca="1" si="3"/>
        <v>0.12520325203252033</v>
      </c>
      <c r="I21" s="3">
        <f t="shared" ca="1" si="4"/>
        <v>58.852884405670665</v>
      </c>
      <c r="J21" s="3">
        <f t="shared" ca="1" si="5"/>
        <v>4.1197019083969471</v>
      </c>
      <c r="K21" s="3">
        <f t="shared" ca="1" si="6"/>
        <v>17.522108766233764</v>
      </c>
      <c r="M21" t="s">
        <v>12</v>
      </c>
      <c r="N21" s="1">
        <v>45683</v>
      </c>
      <c r="O21" s="2">
        <v>24480000</v>
      </c>
      <c r="P21" s="6">
        <v>22091000</v>
      </c>
      <c r="Q21" s="2">
        <v>39331000</v>
      </c>
      <c r="R21" s="2">
        <v>79330000</v>
      </c>
    </row>
    <row r="22" spans="3:18" x14ac:dyDescent="0.35">
      <c r="C22" t="str">
        <f t="shared" ca="1" si="0"/>
        <v>1Q2020</v>
      </c>
      <c r="D22" vm="40">
        <f ca="1"/>
        <v>43973</v>
      </c>
      <c r="E22" vm="41">
        <f ca="1"/>
        <v>9.0263000000000009</v>
      </c>
      <c r="F22" s="3">
        <f t="shared" ca="1" si="1"/>
        <v>3.7276422764227643E-2</v>
      </c>
      <c r="G22" s="3">
        <f t="shared" ca="1" si="2"/>
        <v>0.53252032520325199</v>
      </c>
      <c r="H22" s="3">
        <f t="shared" ca="1" si="3"/>
        <v>0.12520325203252033</v>
      </c>
      <c r="I22" s="3">
        <f t="shared" ca="1" si="4"/>
        <v>60.53625408942203</v>
      </c>
      <c r="J22" s="3">
        <f t="shared" ca="1" si="5"/>
        <v>4.2375377862595425</v>
      </c>
      <c r="K22" s="3">
        <f t="shared" ca="1" si="6"/>
        <v>18.023293831168832</v>
      </c>
      <c r="M22" t="s">
        <v>28</v>
      </c>
      <c r="N22" s="1">
        <v>45774</v>
      </c>
      <c r="O22" s="2">
        <v>24390000</v>
      </c>
      <c r="P22" s="6">
        <v>18775000</v>
      </c>
      <c r="Q22" s="2">
        <v>44062000</v>
      </c>
      <c r="R22" s="2">
        <v>83840000</v>
      </c>
    </row>
    <row r="23" spans="3:18" x14ac:dyDescent="0.35">
      <c r="C23" t="str">
        <f t="shared" ca="1" si="0"/>
        <v>1Q2020</v>
      </c>
      <c r="D23" vm="42">
        <f ca="1"/>
        <v>43977</v>
      </c>
      <c r="E23" vm="43">
        <f ca="1"/>
        <v>8.7178000000000004</v>
      </c>
      <c r="F23" s="3">
        <f t="shared" ca="1" si="1"/>
        <v>3.7276422764227643E-2</v>
      </c>
      <c r="G23" s="3">
        <f t="shared" ca="1" si="2"/>
        <v>0.53252032520325199</v>
      </c>
      <c r="H23" s="3">
        <f t="shared" ca="1" si="3"/>
        <v>0.12520325203252033</v>
      </c>
      <c r="I23" s="3">
        <f t="shared" ca="1" si="4"/>
        <v>58.467251908396946</v>
      </c>
      <c r="J23" s="3">
        <f t="shared" ca="1" si="5"/>
        <v>4.0927076335877866</v>
      </c>
      <c r="K23" s="3">
        <f t="shared" ca="1" si="6"/>
        <v>17.407295454545455</v>
      </c>
      <c r="M23" t="s">
        <v>27</v>
      </c>
      <c r="N23" s="1">
        <v>45865</v>
      </c>
      <c r="O23" s="2">
        <v>24350000</v>
      </c>
      <c r="P23" s="6">
        <v>26422000</v>
      </c>
      <c r="Q23" s="2">
        <v>46743000</v>
      </c>
      <c r="R23" s="2">
        <v>100130000</v>
      </c>
    </row>
    <row r="24" spans="3:18" x14ac:dyDescent="0.35">
      <c r="C24" t="str">
        <f t="shared" ca="1" si="0"/>
        <v>1Q2020</v>
      </c>
      <c r="D24" vm="44">
        <f ca="1"/>
        <v>43978</v>
      </c>
      <c r="E24" vm="45">
        <f ca="1"/>
        <v>8.5252999999999997</v>
      </c>
      <c r="F24" s="3">
        <f t="shared" ca="1" si="1"/>
        <v>3.7276422764227643E-2</v>
      </c>
      <c r="G24" s="3">
        <f t="shared" ca="1" si="2"/>
        <v>0.53252032520325199</v>
      </c>
      <c r="H24" s="3">
        <f t="shared" ca="1" si="3"/>
        <v>0.12520325203252033</v>
      </c>
      <c r="I24" s="3">
        <f t="shared" ca="1" si="4"/>
        <v>57.176221374045795</v>
      </c>
      <c r="J24" s="3">
        <f t="shared" ca="1" si="5"/>
        <v>4.0023354961832061</v>
      </c>
      <c r="K24" s="3">
        <f t="shared" ca="1" si="6"/>
        <v>17.022920454545453</v>
      </c>
      <c r="M24" t="s">
        <v>23</v>
      </c>
      <c r="N24" s="1">
        <v>45956</v>
      </c>
      <c r="O24" s="2">
        <v>24300000</v>
      </c>
      <c r="P24" s="6">
        <v>31910000</v>
      </c>
      <c r="Q24" s="2">
        <v>57006000</v>
      </c>
      <c r="R24" s="2">
        <v>118900000</v>
      </c>
    </row>
    <row r="25" spans="3:18" x14ac:dyDescent="0.35">
      <c r="C25" t="str">
        <f t="shared" ca="1" si="0"/>
        <v>1Q2020</v>
      </c>
      <c r="D25" vm="46">
        <f ca="1"/>
        <v>43979</v>
      </c>
      <c r="E25" vm="47">
        <f ca="1"/>
        <v>8.4870000000000001</v>
      </c>
      <c r="F25" s="3">
        <f t="shared" ca="1" si="1"/>
        <v>3.7276422764227643E-2</v>
      </c>
      <c r="G25" s="3">
        <f t="shared" ca="1" si="2"/>
        <v>0.53252032520325199</v>
      </c>
      <c r="H25" s="3">
        <f t="shared" ca="1" si="3"/>
        <v>0.12520325203252033</v>
      </c>
      <c r="I25" s="3">
        <f t="shared" ca="1" si="4"/>
        <v>56.919356597600874</v>
      </c>
      <c r="J25" s="3">
        <f t="shared" ca="1" si="5"/>
        <v>3.9843549618320613</v>
      </c>
      <c r="K25" s="3">
        <f t="shared" ca="1" si="6"/>
        <v>16.946444805194805</v>
      </c>
      <c r="M25" t="s">
        <v>31</v>
      </c>
      <c r="N25" s="1">
        <v>46047</v>
      </c>
      <c r="O25" s="2">
        <v>24300000</v>
      </c>
      <c r="P25" s="6">
        <v>42960000</v>
      </c>
      <c r="Q25" s="2">
        <v>68127000</v>
      </c>
      <c r="R25" s="2">
        <v>157290000</v>
      </c>
    </row>
    <row r="26" spans="3:18" x14ac:dyDescent="0.35">
      <c r="C26" t="str">
        <f t="shared" ca="1" si="0"/>
        <v>1Q2020</v>
      </c>
      <c r="D26" vm="48">
        <f ca="1"/>
        <v>43980</v>
      </c>
      <c r="E26" vm="49">
        <f ca="1"/>
        <v>8.8755000000000006</v>
      </c>
      <c r="F26" s="3">
        <f t="shared" ca="1" si="1"/>
        <v>3.7276422764227643E-2</v>
      </c>
      <c r="G26" s="3">
        <f t="shared" ca="1" si="2"/>
        <v>0.53252032520325199</v>
      </c>
      <c r="H26" s="3">
        <f t="shared" ca="1" si="3"/>
        <v>0.12520325203252033</v>
      </c>
      <c r="I26" s="3">
        <f t="shared" ca="1" si="4"/>
        <v>59.524890948745913</v>
      </c>
      <c r="J26" s="3">
        <f t="shared" ca="1" si="5"/>
        <v>4.1667423664122145</v>
      </c>
      <c r="K26" s="3">
        <f t="shared" ca="1" si="6"/>
        <v>17.722183441558442</v>
      </c>
      <c r="M26" t="s">
        <v>24</v>
      </c>
      <c r="N26" s="1">
        <v>46138</v>
      </c>
      <c r="O26" s="2">
        <v>24220000</v>
      </c>
      <c r="P26" s="6">
        <v>58321000</v>
      </c>
      <c r="Q26" s="2">
        <v>81615000</v>
      </c>
      <c r="R26" s="2">
        <v>195470000</v>
      </c>
    </row>
    <row r="27" spans="3:18" x14ac:dyDescent="0.35">
      <c r="C27" t="str">
        <f t="shared" ca="1" si="0"/>
        <v>1Q2020</v>
      </c>
      <c r="D27" vm="50">
        <f ca="1"/>
        <v>43983</v>
      </c>
      <c r="E27" vm="51">
        <f ca="1"/>
        <v>8.8063000000000002</v>
      </c>
      <c r="F27" s="3">
        <f t="shared" ca="1" si="1"/>
        <v>3.7276422764227643E-2</v>
      </c>
      <c r="G27" s="3">
        <f t="shared" ca="1" si="2"/>
        <v>0.53252032520325199</v>
      </c>
      <c r="H27" s="3">
        <f t="shared" ca="1" si="3"/>
        <v>0.12520325203252033</v>
      </c>
      <c r="I27" s="3">
        <f t="shared" ca="1" si="4"/>
        <v>59.060790621592147</v>
      </c>
      <c r="J27" s="3">
        <f t="shared" ca="1" si="5"/>
        <v>4.1342553435114509</v>
      </c>
      <c r="K27" s="3">
        <f t="shared" ca="1" si="6"/>
        <v>17.584008116883115</v>
      </c>
      <c r="M27" t="s">
        <v>25</v>
      </c>
      <c r="N27" s="1">
        <v>46229</v>
      </c>
      <c r="O27" s="2">
        <v>24150000</v>
      </c>
      <c r="P27" s="6">
        <v>59688000</v>
      </c>
      <c r="Q27" s="2">
        <v>96221000</v>
      </c>
      <c r="R27" s="2">
        <v>228980000</v>
      </c>
    </row>
    <row r="28" spans="3:18" x14ac:dyDescent="0.35">
      <c r="C28" t="str">
        <f t="shared" ca="1" si="0"/>
        <v>1Q2020</v>
      </c>
      <c r="D28" vm="52">
        <f ca="1"/>
        <v>43984</v>
      </c>
      <c r="E28" vm="53">
        <f ca="1"/>
        <v>8.8253000000000004</v>
      </c>
      <c r="F28" s="3">
        <f t="shared" ca="1" si="1"/>
        <v>3.7276422764227643E-2</v>
      </c>
      <c r="G28" s="3">
        <f t="shared" ca="1" si="2"/>
        <v>0.53252032520325199</v>
      </c>
      <c r="H28" s="3">
        <f t="shared" ca="1" si="3"/>
        <v>0.12520325203252033</v>
      </c>
      <c r="I28" s="3">
        <f t="shared" ca="1" si="4"/>
        <v>59.18821701199564</v>
      </c>
      <c r="J28" s="3">
        <f t="shared" ca="1" si="5"/>
        <v>4.1431751908396954</v>
      </c>
      <c r="K28" s="3">
        <f t="shared" ca="1" si="6"/>
        <v>17.621946428571427</v>
      </c>
    </row>
    <row r="29" spans="3:18" x14ac:dyDescent="0.35">
      <c r="C29" t="str">
        <f t="shared" ca="1" si="0"/>
        <v>1Q2020</v>
      </c>
      <c r="D29" vm="54">
        <f ca="1"/>
        <v>43985</v>
      </c>
      <c r="E29" vm="55">
        <f ca="1"/>
        <v>8.7695000000000007</v>
      </c>
      <c r="F29" s="3">
        <f t="shared" ca="1" si="1"/>
        <v>3.7276422764227643E-2</v>
      </c>
      <c r="G29" s="3">
        <f t="shared" ca="1" si="2"/>
        <v>0.53252032520325199</v>
      </c>
      <c r="H29" s="3">
        <f t="shared" ca="1" si="3"/>
        <v>0.12520325203252033</v>
      </c>
      <c r="I29" s="3">
        <f t="shared" ca="1" si="4"/>
        <v>58.813985823336971</v>
      </c>
      <c r="J29" s="3">
        <f t="shared" ca="1" si="5"/>
        <v>4.1169790076335886</v>
      </c>
      <c r="K29" s="3">
        <f t="shared" ca="1" si="6"/>
        <v>17.510527597402596</v>
      </c>
    </row>
    <row r="30" spans="3:18" x14ac:dyDescent="0.35">
      <c r="C30" t="str">
        <f t="shared" ca="1" si="0"/>
        <v>1Q2020</v>
      </c>
      <c r="D30" vm="56">
        <f ca="1"/>
        <v>43986</v>
      </c>
      <c r="E30" vm="57">
        <f ca="1"/>
        <v>8.7665000000000006</v>
      </c>
      <c r="F30" s="3">
        <f t="shared" ca="1" si="1"/>
        <v>3.7276422764227643E-2</v>
      </c>
      <c r="G30" s="3">
        <f t="shared" ca="1" si="2"/>
        <v>0.53252032520325199</v>
      </c>
      <c r="H30" s="3">
        <f t="shared" ca="1" si="3"/>
        <v>0.12520325203252033</v>
      </c>
      <c r="I30" s="3">
        <f t="shared" ca="1" si="4"/>
        <v>58.793865866957475</v>
      </c>
      <c r="J30" s="3">
        <f t="shared" ca="1" si="5"/>
        <v>4.1155706106870236</v>
      </c>
      <c r="K30" s="3">
        <f t="shared" ca="1" si="6"/>
        <v>17.504537337662338</v>
      </c>
    </row>
    <row r="31" spans="3:18" x14ac:dyDescent="0.35">
      <c r="C31" t="str">
        <f t="shared" ca="1" si="0"/>
        <v>1Q2020</v>
      </c>
      <c r="D31" vm="58">
        <f ca="1"/>
        <v>43987</v>
      </c>
      <c r="E31" vm="59">
        <f ca="1"/>
        <v>8.92</v>
      </c>
      <c r="F31" s="3">
        <f t="shared" ca="1" si="1"/>
        <v>3.7276422764227643E-2</v>
      </c>
      <c r="G31" s="3">
        <f t="shared" ca="1" si="2"/>
        <v>0.53252032520325199</v>
      </c>
      <c r="H31" s="3">
        <f t="shared" ca="1" si="3"/>
        <v>0.12520325203252033</v>
      </c>
      <c r="I31" s="3">
        <f t="shared" ca="1" si="4"/>
        <v>59.823336968375138</v>
      </c>
      <c r="J31" s="3">
        <f t="shared" ca="1" si="5"/>
        <v>4.1876335877862596</v>
      </c>
      <c r="K31" s="3">
        <f t="shared" ca="1" si="6"/>
        <v>17.81103896103896</v>
      </c>
    </row>
    <row r="32" spans="3:18" x14ac:dyDescent="0.35">
      <c r="C32" t="str">
        <f t="shared" ca="1" si="0"/>
        <v>1Q2020</v>
      </c>
      <c r="D32" vm="60">
        <f ca="1"/>
        <v>43990</v>
      </c>
      <c r="E32" vm="61">
        <f ca="1"/>
        <v>8.8049999999999997</v>
      </c>
      <c r="F32" s="3">
        <f t="shared" ca="1" si="1"/>
        <v>3.7276422764227643E-2</v>
      </c>
      <c r="G32" s="3">
        <f t="shared" ca="1" si="2"/>
        <v>0.53252032520325199</v>
      </c>
      <c r="H32" s="3">
        <f t="shared" ca="1" si="3"/>
        <v>0.12520325203252033</v>
      </c>
      <c r="I32" s="3">
        <f t="shared" ca="1" si="4"/>
        <v>59.052071973827694</v>
      </c>
      <c r="J32" s="3">
        <f t="shared" ca="1" si="5"/>
        <v>4.1336450381679395</v>
      </c>
      <c r="K32" s="3">
        <f t="shared" ca="1" si="6"/>
        <v>17.581412337662336</v>
      </c>
    </row>
    <row r="33" spans="3:11" x14ac:dyDescent="0.35">
      <c r="C33" t="str">
        <f t="shared" ca="1" si="0"/>
        <v>1Q2020</v>
      </c>
      <c r="D33" vm="62">
        <f ca="1"/>
        <v>43991</v>
      </c>
      <c r="E33" vm="63">
        <f ca="1"/>
        <v>9.0459999999999994</v>
      </c>
      <c r="F33" s="3">
        <f t="shared" ca="1" si="1"/>
        <v>3.7276422764227643E-2</v>
      </c>
      <c r="G33" s="3">
        <f t="shared" ca="1" si="2"/>
        <v>0.53252032520325199</v>
      </c>
      <c r="H33" s="3">
        <f t="shared" ca="1" si="3"/>
        <v>0.12520325203252033</v>
      </c>
      <c r="I33" s="3">
        <f t="shared" ca="1" si="4"/>
        <v>60.668375136314062</v>
      </c>
      <c r="J33" s="3">
        <f t="shared" ca="1" si="5"/>
        <v>4.2467862595419845</v>
      </c>
      <c r="K33" s="3">
        <f t="shared" ca="1" si="6"/>
        <v>18.062629870129868</v>
      </c>
    </row>
    <row r="34" spans="3:11" x14ac:dyDescent="0.35">
      <c r="C34" t="str">
        <f t="shared" ca="1" si="0"/>
        <v>1Q2020</v>
      </c>
      <c r="D34" vm="64">
        <f ca="1"/>
        <v>43992</v>
      </c>
      <c r="E34" vm="65">
        <f ca="1"/>
        <v>9.3667999999999996</v>
      </c>
      <c r="F34" s="3">
        <f t="shared" ca="1" si="1"/>
        <v>3.7276422764227643E-2</v>
      </c>
      <c r="G34" s="3">
        <f t="shared" ca="1" si="2"/>
        <v>0.53252032520325199</v>
      </c>
      <c r="H34" s="3">
        <f t="shared" ca="1" si="3"/>
        <v>0.12520325203252033</v>
      </c>
      <c r="I34" s="3">
        <f t="shared" ca="1" si="4"/>
        <v>62.819869138495086</v>
      </c>
      <c r="J34" s="3">
        <f t="shared" ca="1" si="5"/>
        <v>4.3973908396946566</v>
      </c>
      <c r="K34" s="3">
        <f t="shared" ca="1" si="6"/>
        <v>18.703188311688308</v>
      </c>
    </row>
    <row r="35" spans="3:11" x14ac:dyDescent="0.35">
      <c r="C35" t="str">
        <f t="shared" ca="1" si="0"/>
        <v>1Q2020</v>
      </c>
      <c r="D35" vm="66">
        <f ca="1"/>
        <v>43993</v>
      </c>
      <c r="E35" vm="67">
        <f ca="1"/>
        <v>8.7963000000000005</v>
      </c>
      <c r="F35" s="3">
        <f t="shared" ca="1" si="1"/>
        <v>3.7276422764227643E-2</v>
      </c>
      <c r="G35" s="3">
        <f t="shared" ca="1" si="2"/>
        <v>0.53252032520325199</v>
      </c>
      <c r="H35" s="3">
        <f t="shared" ca="1" si="3"/>
        <v>0.12520325203252033</v>
      </c>
      <c r="I35" s="3">
        <f t="shared" ca="1" si="4"/>
        <v>58.993724100327157</v>
      </c>
      <c r="J35" s="3">
        <f t="shared" ca="1" si="5"/>
        <v>4.1295606870229014</v>
      </c>
      <c r="K35" s="3">
        <f t="shared" ca="1" si="6"/>
        <v>17.564040584415583</v>
      </c>
    </row>
    <row r="36" spans="3:11" x14ac:dyDescent="0.35">
      <c r="C36" t="str">
        <f t="shared" ca="1" si="0"/>
        <v>1Q2020</v>
      </c>
      <c r="D36" vm="68">
        <f ca="1"/>
        <v>43994</v>
      </c>
      <c r="E36" vm="69">
        <f ca="1"/>
        <v>8.9324999999999992</v>
      </c>
      <c r="F36" s="3">
        <f t="shared" ca="1" si="1"/>
        <v>3.7276422764227643E-2</v>
      </c>
      <c r="G36" s="3">
        <f t="shared" ca="1" si="2"/>
        <v>0.53252032520325199</v>
      </c>
      <c r="H36" s="3">
        <f t="shared" ca="1" si="3"/>
        <v>0.12520325203252033</v>
      </c>
      <c r="I36" s="3">
        <f t="shared" ca="1" si="4"/>
        <v>59.907170119956376</v>
      </c>
      <c r="J36" s="3">
        <f t="shared" ca="1" si="5"/>
        <v>4.1935019083969465</v>
      </c>
      <c r="K36" s="3">
        <f t="shared" ca="1" si="6"/>
        <v>17.835998376623373</v>
      </c>
    </row>
    <row r="37" spans="3:11" x14ac:dyDescent="0.35">
      <c r="C37" t="str">
        <f t="shared" ca="1" si="0"/>
        <v>1Q2020</v>
      </c>
      <c r="D37" vm="70">
        <f ca="1"/>
        <v>43997</v>
      </c>
      <c r="E37" vm="71">
        <f ca="1"/>
        <v>9.1738</v>
      </c>
      <c r="F37" s="3">
        <f t="shared" ca="1" si="1"/>
        <v>3.7276422764227643E-2</v>
      </c>
      <c r="G37" s="3">
        <f t="shared" ca="1" si="2"/>
        <v>0.53252032520325199</v>
      </c>
      <c r="H37" s="3">
        <f t="shared" ca="1" si="3"/>
        <v>0.12520325203252033</v>
      </c>
      <c r="I37" s="3">
        <f t="shared" ca="1" si="4"/>
        <v>61.525485278080694</v>
      </c>
      <c r="J37" s="3">
        <f t="shared" ca="1" si="5"/>
        <v>4.3067839694656493</v>
      </c>
      <c r="K37" s="3">
        <f t="shared" ca="1" si="6"/>
        <v>18.317814935064934</v>
      </c>
    </row>
    <row r="38" spans="3:11" x14ac:dyDescent="0.35">
      <c r="C38" t="str">
        <f t="shared" ca="1" si="0"/>
        <v>1Q2020</v>
      </c>
      <c r="D38" vm="72">
        <f ca="1"/>
        <v>43998</v>
      </c>
      <c r="E38" vm="73">
        <f ca="1"/>
        <v>9.0685000000000002</v>
      </c>
      <c r="F38" s="3">
        <f t="shared" ca="1" si="1"/>
        <v>3.7276422764227643E-2</v>
      </c>
      <c r="G38" s="3">
        <f t="shared" ca="1" si="2"/>
        <v>0.53252032520325199</v>
      </c>
      <c r="H38" s="3">
        <f t="shared" ca="1" si="3"/>
        <v>0.12520325203252033</v>
      </c>
      <c r="I38" s="3">
        <f t="shared" ca="1" si="4"/>
        <v>60.819274809160305</v>
      </c>
      <c r="J38" s="3">
        <f t="shared" ca="1" si="5"/>
        <v>4.2573492366412218</v>
      </c>
      <c r="K38" s="3">
        <f t="shared" ca="1" si="6"/>
        <v>18.107556818181816</v>
      </c>
    </row>
    <row r="39" spans="3:11" x14ac:dyDescent="0.35">
      <c r="C39" t="str">
        <f t="shared" ca="1" si="0"/>
        <v>1Q2020</v>
      </c>
      <c r="D39" vm="74">
        <f ca="1"/>
        <v>43999</v>
      </c>
      <c r="E39" vm="75">
        <f ca="1"/>
        <v>9.2360000000000007</v>
      </c>
      <c r="F39" s="3">
        <f t="shared" ca="1" si="1"/>
        <v>3.7276422764227643E-2</v>
      </c>
      <c r="G39" s="3">
        <f t="shared" ca="1" si="2"/>
        <v>0.53252032520325199</v>
      </c>
      <c r="H39" s="3">
        <f t="shared" ca="1" si="3"/>
        <v>0.12520325203252033</v>
      </c>
      <c r="I39" s="3">
        <f t="shared" ca="1" si="4"/>
        <v>61.942639040348965</v>
      </c>
      <c r="J39" s="3">
        <f t="shared" ca="1" si="5"/>
        <v>4.3359847328244285</v>
      </c>
      <c r="K39" s="3">
        <f t="shared" ca="1" si="6"/>
        <v>18.442012987012987</v>
      </c>
    </row>
    <row r="40" spans="3:11" x14ac:dyDescent="0.35">
      <c r="C40" t="str">
        <f t="shared" ca="1" si="0"/>
        <v>1Q2020</v>
      </c>
      <c r="D40" vm="76">
        <f ca="1"/>
        <v>44000</v>
      </c>
      <c r="E40" vm="77">
        <f ca="1"/>
        <v>9.218</v>
      </c>
      <c r="F40" s="3">
        <f t="shared" ca="1" si="1"/>
        <v>3.7276422764227643E-2</v>
      </c>
      <c r="G40" s="3">
        <f t="shared" ca="1" si="2"/>
        <v>0.53252032520325199</v>
      </c>
      <c r="H40" s="3">
        <f t="shared" ca="1" si="3"/>
        <v>0.12520325203252033</v>
      </c>
      <c r="I40" s="3">
        <f t="shared" ca="1" si="4"/>
        <v>61.821919302071976</v>
      </c>
      <c r="J40" s="3">
        <f t="shared" ca="1" si="5"/>
        <v>4.3275343511450384</v>
      </c>
      <c r="K40" s="3">
        <f t="shared" ca="1" si="6"/>
        <v>18.406071428571426</v>
      </c>
    </row>
    <row r="41" spans="3:11" x14ac:dyDescent="0.35">
      <c r="C41" t="str">
        <f t="shared" ca="1" si="0"/>
        <v>1Q2020</v>
      </c>
      <c r="D41" vm="78">
        <f ca="1"/>
        <v>44001</v>
      </c>
      <c r="E41" vm="79">
        <f ca="1"/>
        <v>9.2613000000000003</v>
      </c>
      <c r="F41" s="3">
        <f t="shared" ca="1" si="1"/>
        <v>3.7276422764227643E-2</v>
      </c>
      <c r="G41" s="3">
        <f t="shared" ca="1" si="2"/>
        <v>0.53252032520325199</v>
      </c>
      <c r="H41" s="3">
        <f t="shared" ca="1" si="3"/>
        <v>0.12520325203252033</v>
      </c>
      <c r="I41" s="3">
        <f t="shared" ca="1" si="4"/>
        <v>62.112317339149399</v>
      </c>
      <c r="J41" s="3">
        <f t="shared" ca="1" si="5"/>
        <v>4.3478622137404583</v>
      </c>
      <c r="K41" s="3">
        <f t="shared" ca="1" si="6"/>
        <v>18.492530844155844</v>
      </c>
    </row>
    <row r="42" spans="3:11" x14ac:dyDescent="0.35">
      <c r="C42" t="str">
        <f t="shared" ca="1" si="0"/>
        <v>1Q2020</v>
      </c>
      <c r="D42" vm="80">
        <f ca="1"/>
        <v>44004</v>
      </c>
      <c r="E42" vm="81">
        <f ca="1"/>
        <v>9.5267999999999997</v>
      </c>
      <c r="F42" s="3">
        <f t="shared" ca="1" si="1"/>
        <v>3.7276422764227643E-2</v>
      </c>
      <c r="G42" s="3">
        <f t="shared" ca="1" si="2"/>
        <v>0.53252032520325199</v>
      </c>
      <c r="H42" s="3">
        <f t="shared" ca="1" si="3"/>
        <v>0.12520325203252033</v>
      </c>
      <c r="I42" s="3">
        <f t="shared" ca="1" si="4"/>
        <v>63.892933478735003</v>
      </c>
      <c r="J42" s="3">
        <f t="shared" ca="1" si="5"/>
        <v>4.4725053435114503</v>
      </c>
      <c r="K42" s="3">
        <f t="shared" ca="1" si="6"/>
        <v>19.022668831168829</v>
      </c>
    </row>
    <row r="43" spans="3:11" x14ac:dyDescent="0.35">
      <c r="C43" t="str">
        <f t="shared" ca="1" si="0"/>
        <v>1Q2020</v>
      </c>
      <c r="D43" vm="82">
        <f ca="1"/>
        <v>44005</v>
      </c>
      <c r="E43" vm="83">
        <f ca="1"/>
        <v>9.4499999999999993</v>
      </c>
      <c r="F43" s="3">
        <f t="shared" ca="1" si="1"/>
        <v>3.7276422764227643E-2</v>
      </c>
      <c r="G43" s="3">
        <f t="shared" ca="1" si="2"/>
        <v>0.53252032520325199</v>
      </c>
      <c r="H43" s="3">
        <f t="shared" ca="1" si="3"/>
        <v>0.12520325203252033</v>
      </c>
      <c r="I43" s="3">
        <f t="shared" ca="1" si="4"/>
        <v>63.377862595419842</v>
      </c>
      <c r="J43" s="3">
        <f t="shared" ca="1" si="5"/>
        <v>4.4364503816793892</v>
      </c>
      <c r="K43" s="3">
        <f t="shared" ca="1" si="6"/>
        <v>18.86931818181818</v>
      </c>
    </row>
    <row r="44" spans="3:11" x14ac:dyDescent="0.35">
      <c r="C44" t="str">
        <f t="shared" ca="1" si="0"/>
        <v>1Q2020</v>
      </c>
      <c r="D44" vm="84">
        <f ca="1"/>
        <v>44006</v>
      </c>
      <c r="E44" vm="85">
        <f ca="1"/>
        <v>9.2355</v>
      </c>
      <c r="F44" s="3">
        <f t="shared" ca="1" si="1"/>
        <v>3.7276422764227643E-2</v>
      </c>
      <c r="G44" s="3">
        <f t="shared" ca="1" si="2"/>
        <v>0.53252032520325199</v>
      </c>
      <c r="H44" s="3">
        <f t="shared" ca="1" si="3"/>
        <v>0.12520325203252033</v>
      </c>
      <c r="I44" s="3">
        <f t="shared" ca="1" si="4"/>
        <v>61.939285714285717</v>
      </c>
      <c r="J44" s="3">
        <f t="shared" ca="1" si="5"/>
        <v>4.33575</v>
      </c>
      <c r="K44" s="3">
        <f t="shared" ca="1" si="6"/>
        <v>18.441014610389608</v>
      </c>
    </row>
    <row r="45" spans="3:11" x14ac:dyDescent="0.35">
      <c r="C45" t="str">
        <f t="shared" ca="1" si="0"/>
        <v>1Q2020</v>
      </c>
      <c r="D45" vm="86">
        <f ca="1"/>
        <v>44007</v>
      </c>
      <c r="E45" vm="87">
        <f ca="1"/>
        <v>9.49</v>
      </c>
      <c r="F45" s="3">
        <f t="shared" ca="1" si="1"/>
        <v>3.7276422764227643E-2</v>
      </c>
      <c r="G45" s="3">
        <f t="shared" ca="1" si="2"/>
        <v>0.53252032520325199</v>
      </c>
      <c r="H45" s="3">
        <f t="shared" ca="1" si="3"/>
        <v>0.12520325203252033</v>
      </c>
      <c r="I45" s="3">
        <f t="shared" ca="1" si="4"/>
        <v>63.646128680479826</v>
      </c>
      <c r="J45" s="3">
        <f t="shared" ca="1" si="5"/>
        <v>4.4552290076335881</v>
      </c>
      <c r="K45" s="3">
        <f t="shared" ca="1" si="6"/>
        <v>18.94918831168831</v>
      </c>
    </row>
    <row r="46" spans="3:11" x14ac:dyDescent="0.35">
      <c r="C46" t="str">
        <f t="shared" ca="1" si="0"/>
        <v>1Q2020</v>
      </c>
      <c r="D46" vm="88">
        <f ca="1"/>
        <v>44008</v>
      </c>
      <c r="E46" vm="89">
        <f ca="1"/>
        <v>9.1549999999999994</v>
      </c>
      <c r="F46" s="3">
        <f t="shared" ca="1" si="1"/>
        <v>3.7276422764227643E-2</v>
      </c>
      <c r="G46" s="3">
        <f t="shared" ca="1" si="2"/>
        <v>0.53252032520325199</v>
      </c>
      <c r="H46" s="3">
        <f t="shared" ca="1" si="3"/>
        <v>0.12520325203252033</v>
      </c>
      <c r="I46" s="3">
        <f t="shared" ca="1" si="4"/>
        <v>61.3994002181025</v>
      </c>
      <c r="J46" s="3">
        <f t="shared" ca="1" si="5"/>
        <v>4.2979580152671755</v>
      </c>
      <c r="K46" s="3">
        <f t="shared" ca="1" si="6"/>
        <v>18.280275974025972</v>
      </c>
    </row>
    <row r="47" spans="3:11" x14ac:dyDescent="0.35">
      <c r="C47" t="str">
        <f t="shared" ca="1" si="0"/>
        <v>1Q2020</v>
      </c>
      <c r="D47" vm="90">
        <f ca="1"/>
        <v>44011</v>
      </c>
      <c r="E47" vm="91">
        <f ca="1"/>
        <v>9.1999999999999993</v>
      </c>
      <c r="F47" s="3">
        <f t="shared" ca="1" si="1"/>
        <v>3.7276422764227643E-2</v>
      </c>
      <c r="G47" s="3">
        <f t="shared" ca="1" si="2"/>
        <v>0.53252032520325199</v>
      </c>
      <c r="H47" s="3">
        <f t="shared" ca="1" si="3"/>
        <v>0.12520325203252033</v>
      </c>
      <c r="I47" s="3">
        <f t="shared" ca="1" si="4"/>
        <v>61.701199563794979</v>
      </c>
      <c r="J47" s="3">
        <f t="shared" ca="1" si="5"/>
        <v>4.3190839694656491</v>
      </c>
      <c r="K47" s="3">
        <f t="shared" ca="1" si="6"/>
        <v>18.370129870129869</v>
      </c>
    </row>
    <row r="48" spans="3:11" x14ac:dyDescent="0.35">
      <c r="C48" t="str">
        <f t="shared" ca="1" si="0"/>
        <v>1Q2020</v>
      </c>
      <c r="D48" vm="92">
        <f ca="1"/>
        <v>44012</v>
      </c>
      <c r="E48" vm="93">
        <f ca="1"/>
        <v>9.4977999999999998</v>
      </c>
      <c r="F48" s="3">
        <f t="shared" ca="1" si="1"/>
        <v>3.7276422764227643E-2</v>
      </c>
      <c r="G48" s="3">
        <f t="shared" ca="1" si="2"/>
        <v>0.53252032520325199</v>
      </c>
      <c r="H48" s="3">
        <f t="shared" ca="1" si="3"/>
        <v>0.12520325203252033</v>
      </c>
      <c r="I48" s="3">
        <f t="shared" ca="1" si="4"/>
        <v>63.69844056706652</v>
      </c>
      <c r="J48" s="3">
        <f t="shared" ca="1" si="5"/>
        <v>4.4588908396946572</v>
      </c>
      <c r="K48" s="3">
        <f t="shared" ca="1" si="6"/>
        <v>18.964762987012985</v>
      </c>
    </row>
    <row r="49" spans="3:11" x14ac:dyDescent="0.35">
      <c r="C49" t="str">
        <f t="shared" ca="1" si="0"/>
        <v>1Q2020</v>
      </c>
      <c r="D49" vm="94">
        <f ca="1"/>
        <v>44013</v>
      </c>
      <c r="E49" vm="95">
        <f ca="1"/>
        <v>9.5299999999999994</v>
      </c>
      <c r="F49" s="3">
        <f t="shared" ca="1" si="1"/>
        <v>3.7276422764227643E-2</v>
      </c>
      <c r="G49" s="3">
        <f t="shared" ca="1" si="2"/>
        <v>0.53252032520325199</v>
      </c>
      <c r="H49" s="3">
        <f t="shared" ca="1" si="3"/>
        <v>0.12520325203252033</v>
      </c>
      <c r="I49" s="3">
        <f t="shared" ca="1" si="4"/>
        <v>63.914394765539797</v>
      </c>
      <c r="J49" s="3">
        <f t="shared" ca="1" si="5"/>
        <v>4.4740076335877861</v>
      </c>
      <c r="K49" s="3">
        <f t="shared" ca="1" si="6"/>
        <v>19.029058441558441</v>
      </c>
    </row>
    <row r="50" spans="3:11" x14ac:dyDescent="0.35">
      <c r="C50" t="str">
        <f t="shared" ca="1" si="0"/>
        <v>1Q2020</v>
      </c>
      <c r="D50" vm="96">
        <f ca="1"/>
        <v>44014</v>
      </c>
      <c r="E50" vm="97">
        <f ca="1"/>
        <v>9.6122999999999994</v>
      </c>
      <c r="F50" s="3">
        <f t="shared" ca="1" si="1"/>
        <v>3.7276422764227643E-2</v>
      </c>
      <c r="G50" s="3">
        <f t="shared" ca="1" si="2"/>
        <v>0.53252032520325199</v>
      </c>
      <c r="H50" s="3">
        <f t="shared" ca="1" si="3"/>
        <v>0.12520325203252033</v>
      </c>
      <c r="I50" s="3">
        <f t="shared" ca="1" si="4"/>
        <v>64.466352235550701</v>
      </c>
      <c r="J50" s="3">
        <f t="shared" ca="1" si="5"/>
        <v>4.5126446564885496</v>
      </c>
      <c r="K50" s="3">
        <f t="shared" ca="1" si="6"/>
        <v>19.193391233766231</v>
      </c>
    </row>
    <row r="51" spans="3:11" x14ac:dyDescent="0.35">
      <c r="C51" t="str">
        <f t="shared" ca="1" si="0"/>
        <v>1Q2020</v>
      </c>
      <c r="D51" vm="98">
        <f ca="1"/>
        <v>44018</v>
      </c>
      <c r="E51" vm="99">
        <f ca="1"/>
        <v>9.8392999999999997</v>
      </c>
      <c r="F51" s="3">
        <f t="shared" ca="1" si="1"/>
        <v>3.7276422764227643E-2</v>
      </c>
      <c r="G51" s="3">
        <f t="shared" ca="1" si="2"/>
        <v>0.53252032520325199</v>
      </c>
      <c r="H51" s="3">
        <f t="shared" ca="1" si="3"/>
        <v>0.12520325203252033</v>
      </c>
      <c r="I51" s="3">
        <f t="shared" ca="1" si="4"/>
        <v>65.988762268266086</v>
      </c>
      <c r="J51" s="3">
        <f t="shared" ca="1" si="5"/>
        <v>4.6192133587786266</v>
      </c>
      <c r="K51" s="3">
        <f t="shared" ca="1" si="6"/>
        <v>19.646654220779219</v>
      </c>
    </row>
    <row r="52" spans="3:11" x14ac:dyDescent="0.35">
      <c r="C52" t="str">
        <f t="shared" ca="1" si="0"/>
        <v>1Q2020</v>
      </c>
      <c r="D52" vm="100">
        <f ca="1"/>
        <v>44019</v>
      </c>
      <c r="E52" vm="101">
        <f ca="1"/>
        <v>9.8718000000000004</v>
      </c>
      <c r="F52" s="3">
        <f t="shared" ca="1" si="1"/>
        <v>3.7276422764227643E-2</v>
      </c>
      <c r="G52" s="3">
        <f t="shared" ca="1" si="2"/>
        <v>0.53252032520325199</v>
      </c>
      <c r="H52" s="3">
        <f t="shared" ca="1" si="3"/>
        <v>0.12520325203252033</v>
      </c>
      <c r="I52" s="3">
        <f t="shared" ca="1" si="4"/>
        <v>66.206728462377313</v>
      </c>
      <c r="J52" s="3">
        <f t="shared" ca="1" si="5"/>
        <v>4.6344709923664125</v>
      </c>
      <c r="K52" s="3">
        <f t="shared" ca="1" si="6"/>
        <v>19.7115487012987</v>
      </c>
    </row>
    <row r="53" spans="3:11" x14ac:dyDescent="0.35">
      <c r="C53" t="str">
        <f t="shared" ca="1" si="0"/>
        <v>1Q2020</v>
      </c>
      <c r="D53" vm="102">
        <f ca="1"/>
        <v>44020</v>
      </c>
      <c r="E53" vm="103">
        <f ca="1"/>
        <v>10.215999999999999</v>
      </c>
      <c r="F53" s="3">
        <f t="shared" ca="1" si="1"/>
        <v>3.7276422764227643E-2</v>
      </c>
      <c r="G53" s="3">
        <f t="shared" ca="1" si="2"/>
        <v>0.53252032520325199</v>
      </c>
      <c r="H53" s="3">
        <f t="shared" ca="1" si="3"/>
        <v>0.12520325203252033</v>
      </c>
      <c r="I53" s="3">
        <f t="shared" ca="1" si="4"/>
        <v>68.515158124318418</v>
      </c>
      <c r="J53" s="3">
        <f t="shared" ca="1" si="5"/>
        <v>4.79606106870229</v>
      </c>
      <c r="K53" s="3">
        <f t="shared" ca="1" si="6"/>
        <v>20.398831168831165</v>
      </c>
    </row>
    <row r="54" spans="3:11" x14ac:dyDescent="0.35">
      <c r="C54" t="str">
        <f t="shared" ca="1" si="0"/>
        <v>1Q2020</v>
      </c>
      <c r="D54" vm="104">
        <f ca="1"/>
        <v>44021</v>
      </c>
      <c r="E54" vm="105">
        <f ca="1"/>
        <v>10.509</v>
      </c>
      <c r="F54" s="3">
        <f t="shared" ca="1" si="1"/>
        <v>3.7276422764227643E-2</v>
      </c>
      <c r="G54" s="3">
        <f t="shared" ca="1" si="2"/>
        <v>0.53252032520325199</v>
      </c>
      <c r="H54" s="3">
        <f t="shared" ca="1" si="3"/>
        <v>0.12520325203252033</v>
      </c>
      <c r="I54" s="3">
        <f t="shared" ca="1" si="4"/>
        <v>70.480207197382768</v>
      </c>
      <c r="J54" s="3">
        <f t="shared" ca="1" si="5"/>
        <v>4.9336145038167949</v>
      </c>
      <c r="K54" s="3">
        <f t="shared" ca="1" si="6"/>
        <v>20.983879870129869</v>
      </c>
    </row>
    <row r="55" spans="3:11" x14ac:dyDescent="0.35">
      <c r="C55" t="str">
        <f t="shared" ca="1" si="0"/>
        <v>1Q2020</v>
      </c>
      <c r="D55" vm="106">
        <f ca="1"/>
        <v>44022</v>
      </c>
      <c r="E55" vm="107">
        <f ca="1"/>
        <v>10.4793</v>
      </c>
      <c r="F55" s="3">
        <f t="shared" ca="1" si="1"/>
        <v>3.7276422764227643E-2</v>
      </c>
      <c r="G55" s="3">
        <f t="shared" ca="1" si="2"/>
        <v>0.53252032520325199</v>
      </c>
      <c r="H55" s="3">
        <f t="shared" ca="1" si="3"/>
        <v>0.12520325203252033</v>
      </c>
      <c r="I55" s="3">
        <f t="shared" ca="1" si="4"/>
        <v>70.281019629225739</v>
      </c>
      <c r="J55" s="3">
        <f t="shared" ca="1" si="5"/>
        <v>4.9196713740458025</v>
      </c>
      <c r="K55" s="3">
        <f t="shared" ca="1" si="6"/>
        <v>20.924576298701297</v>
      </c>
    </row>
    <row r="56" spans="3:11" x14ac:dyDescent="0.35">
      <c r="C56" t="str">
        <f t="shared" ca="1" si="0"/>
        <v>1Q2020</v>
      </c>
      <c r="D56" vm="108">
        <f ca="1"/>
        <v>44025</v>
      </c>
      <c r="E56" vm="109">
        <f ca="1"/>
        <v>10.052300000000001</v>
      </c>
      <c r="F56" s="3">
        <f t="shared" ca="1" si="1"/>
        <v>3.7276422764227643E-2</v>
      </c>
      <c r="G56" s="3">
        <f t="shared" ca="1" si="2"/>
        <v>0.53252032520325199</v>
      </c>
      <c r="H56" s="3">
        <f t="shared" ca="1" si="3"/>
        <v>0.12520325203252033</v>
      </c>
      <c r="I56" s="3">
        <f t="shared" ca="1" si="4"/>
        <v>67.417279171210467</v>
      </c>
      <c r="J56" s="3">
        <f t="shared" ca="1" si="5"/>
        <v>4.7192095419847337</v>
      </c>
      <c r="K56" s="3">
        <f t="shared" ca="1" si="6"/>
        <v>20.071962662337661</v>
      </c>
    </row>
    <row r="57" spans="3:11" x14ac:dyDescent="0.35">
      <c r="C57" t="str">
        <f t="shared" ca="1" si="0"/>
        <v>1Q2020</v>
      </c>
      <c r="D57" vm="110">
        <f ca="1"/>
        <v>44026</v>
      </c>
      <c r="E57" vm="111">
        <f ca="1"/>
        <v>10.377000000000001</v>
      </c>
      <c r="F57" s="3">
        <f t="shared" ca="1" si="1"/>
        <v>3.7276422764227643E-2</v>
      </c>
      <c r="G57" s="3">
        <f t="shared" ca="1" si="2"/>
        <v>0.53252032520325199</v>
      </c>
      <c r="H57" s="3">
        <f t="shared" ca="1" si="3"/>
        <v>0.12520325203252033</v>
      </c>
      <c r="I57" s="3">
        <f t="shared" ca="1" si="4"/>
        <v>69.594929116684838</v>
      </c>
      <c r="J57" s="3">
        <f t="shared" ca="1" si="5"/>
        <v>4.8716450381679399</v>
      </c>
      <c r="K57" s="3">
        <f t="shared" ca="1" si="6"/>
        <v>20.720308441558441</v>
      </c>
    </row>
    <row r="58" spans="3:11" x14ac:dyDescent="0.35">
      <c r="C58" t="str">
        <f t="shared" ca="1" si="0"/>
        <v>1Q2020</v>
      </c>
      <c r="D58" vm="112">
        <f ca="1"/>
        <v>44027</v>
      </c>
      <c r="E58" vm="113">
        <f ca="1"/>
        <v>10.2273</v>
      </c>
      <c r="F58" s="3">
        <f t="shared" ca="1" si="1"/>
        <v>3.7276422764227643E-2</v>
      </c>
      <c r="G58" s="3">
        <f t="shared" ca="1" si="2"/>
        <v>0.53252032520325199</v>
      </c>
      <c r="H58" s="3">
        <f t="shared" ca="1" si="3"/>
        <v>0.12520325203252033</v>
      </c>
      <c r="I58" s="3">
        <f t="shared" ca="1" si="4"/>
        <v>68.590943293347863</v>
      </c>
      <c r="J58" s="3">
        <f t="shared" ca="1" si="5"/>
        <v>4.8013660305343517</v>
      </c>
      <c r="K58" s="3">
        <f t="shared" ca="1" si="6"/>
        <v>20.421394480519478</v>
      </c>
    </row>
    <row r="59" spans="3:11" x14ac:dyDescent="0.35">
      <c r="C59" t="str">
        <f t="shared" ca="1" si="0"/>
        <v>1Q2020</v>
      </c>
      <c r="D59" vm="114">
        <f ca="1"/>
        <v>44028</v>
      </c>
      <c r="E59" vm="115">
        <f ca="1"/>
        <v>10.1348</v>
      </c>
      <c r="F59" s="3">
        <f t="shared" ca="1" si="1"/>
        <v>3.7276422764227643E-2</v>
      </c>
      <c r="G59" s="3">
        <f t="shared" ca="1" si="2"/>
        <v>0.53252032520325199</v>
      </c>
      <c r="H59" s="3">
        <f t="shared" ca="1" si="3"/>
        <v>0.12520325203252033</v>
      </c>
      <c r="I59" s="3">
        <f t="shared" ca="1" si="4"/>
        <v>67.970577971646676</v>
      </c>
      <c r="J59" s="3">
        <f t="shared" ca="1" si="5"/>
        <v>4.757940458015268</v>
      </c>
      <c r="K59" s="3">
        <f t="shared" ca="1" si="6"/>
        <v>20.236694805194805</v>
      </c>
    </row>
    <row r="60" spans="3:11" x14ac:dyDescent="0.35">
      <c r="C60" t="str">
        <f t="shared" ca="1" si="0"/>
        <v>1Q2020</v>
      </c>
      <c r="D60" vm="116">
        <f ca="1"/>
        <v>44029</v>
      </c>
      <c r="E60" vm="117">
        <f ca="1"/>
        <v>10.201499999999999</v>
      </c>
      <c r="F60" s="3">
        <f t="shared" ca="1" si="1"/>
        <v>3.7276422764227643E-2</v>
      </c>
      <c r="G60" s="3">
        <f t="shared" ca="1" si="2"/>
        <v>0.53252032520325199</v>
      </c>
      <c r="H60" s="3">
        <f t="shared" ca="1" si="3"/>
        <v>0.12520325203252033</v>
      </c>
      <c r="I60" s="3">
        <f t="shared" ca="1" si="4"/>
        <v>68.41791166848418</v>
      </c>
      <c r="J60" s="3">
        <f t="shared" ca="1" si="5"/>
        <v>4.7892538167938934</v>
      </c>
      <c r="K60" s="3">
        <f t="shared" ca="1" si="6"/>
        <v>20.369878246753245</v>
      </c>
    </row>
    <row r="61" spans="3:11" x14ac:dyDescent="0.35">
      <c r="C61" t="str">
        <f t="shared" ca="1" si="0"/>
        <v>1Q2020</v>
      </c>
      <c r="D61" vm="118">
        <f ca="1"/>
        <v>44032</v>
      </c>
      <c r="E61" vm="119">
        <f ca="1"/>
        <v>10.5108</v>
      </c>
      <c r="F61" s="3">
        <f t="shared" ca="1" si="1"/>
        <v>3.7276422764227643E-2</v>
      </c>
      <c r="G61" s="3">
        <f t="shared" ca="1" si="2"/>
        <v>0.53252032520325199</v>
      </c>
      <c r="H61" s="3">
        <f t="shared" ca="1" si="3"/>
        <v>0.12520325203252033</v>
      </c>
      <c r="I61" s="3">
        <f t="shared" ca="1" si="4"/>
        <v>70.49227917121047</v>
      </c>
      <c r="J61" s="3">
        <f t="shared" ca="1" si="5"/>
        <v>4.934459541984733</v>
      </c>
      <c r="K61" s="3">
        <f t="shared" ca="1" si="6"/>
        <v>20.987474025974024</v>
      </c>
    </row>
    <row r="62" spans="3:11" x14ac:dyDescent="0.35">
      <c r="C62" t="str">
        <f t="shared" ca="1" si="0"/>
        <v>1Q2020</v>
      </c>
      <c r="D62" vm="120">
        <f ca="1"/>
        <v>44033</v>
      </c>
      <c r="E62" vm="121">
        <f ca="1"/>
        <v>10.3285</v>
      </c>
      <c r="F62" s="3">
        <f t="shared" ca="1" si="1"/>
        <v>3.7276422764227643E-2</v>
      </c>
      <c r="G62" s="3">
        <f t="shared" ca="1" si="2"/>
        <v>0.53252032520325199</v>
      </c>
      <c r="H62" s="3">
        <f t="shared" ca="1" si="3"/>
        <v>0.12520325203252033</v>
      </c>
      <c r="I62" s="3">
        <f t="shared" ca="1" si="4"/>
        <v>69.269656488549614</v>
      </c>
      <c r="J62" s="3">
        <f t="shared" ca="1" si="5"/>
        <v>4.8488759541984736</v>
      </c>
      <c r="K62" s="3">
        <f t="shared" ca="1" si="6"/>
        <v>20.623465909090907</v>
      </c>
    </row>
    <row r="63" spans="3:11" x14ac:dyDescent="0.35">
      <c r="C63" t="str">
        <f t="shared" ca="1" si="0"/>
        <v>1Q2020</v>
      </c>
      <c r="D63" vm="122">
        <f ca="1"/>
        <v>44034</v>
      </c>
      <c r="E63" vm="123">
        <f ca="1"/>
        <v>10.438800000000001</v>
      </c>
      <c r="F63" s="3">
        <f t="shared" ca="1" si="1"/>
        <v>3.7276422764227643E-2</v>
      </c>
      <c r="G63" s="3">
        <f t="shared" ca="1" si="2"/>
        <v>0.53252032520325199</v>
      </c>
      <c r="H63" s="3">
        <f t="shared" ca="1" si="3"/>
        <v>0.12520325203252033</v>
      </c>
      <c r="I63" s="3">
        <f t="shared" ca="1" si="4"/>
        <v>70.009400218102513</v>
      </c>
      <c r="J63" s="3">
        <f t="shared" ca="1" si="5"/>
        <v>4.9006580152671759</v>
      </c>
      <c r="K63" s="3">
        <f t="shared" ca="1" si="6"/>
        <v>20.843707792207791</v>
      </c>
    </row>
    <row r="64" spans="3:11" x14ac:dyDescent="0.35">
      <c r="C64" t="str">
        <f t="shared" ca="1" si="0"/>
        <v>1Q2020</v>
      </c>
      <c r="D64" vm="124">
        <f ca="1"/>
        <v>44035</v>
      </c>
      <c r="E64" vm="125">
        <f ca="1"/>
        <v>10.129799999999999</v>
      </c>
      <c r="F64" s="3">
        <f t="shared" ca="1" si="1"/>
        <v>3.7276422764227643E-2</v>
      </c>
      <c r="G64" s="3">
        <f t="shared" ca="1" si="2"/>
        <v>0.53252032520325199</v>
      </c>
      <c r="H64" s="3">
        <f t="shared" ca="1" si="3"/>
        <v>0.12520325203252033</v>
      </c>
      <c r="I64" s="3">
        <f t="shared" ca="1" si="4"/>
        <v>67.937044711014167</v>
      </c>
      <c r="J64" s="3">
        <f t="shared" ca="1" si="5"/>
        <v>4.7555931297709924</v>
      </c>
      <c r="K64" s="3">
        <f t="shared" ca="1" si="6"/>
        <v>20.226711038961035</v>
      </c>
    </row>
    <row r="65" spans="3:11" x14ac:dyDescent="0.35">
      <c r="C65" t="str">
        <f t="shared" ca="1" si="0"/>
        <v>1Q2020</v>
      </c>
      <c r="D65" vm="126">
        <f ca="1"/>
        <v>44036</v>
      </c>
      <c r="E65" vm="127">
        <f ca="1"/>
        <v>10.1945</v>
      </c>
      <c r="F65" s="3">
        <f t="shared" ca="1" si="1"/>
        <v>3.7276422764227643E-2</v>
      </c>
      <c r="G65" s="3">
        <f t="shared" ca="1" si="2"/>
        <v>0.53252032520325199</v>
      </c>
      <c r="H65" s="3">
        <f t="shared" ca="1" si="3"/>
        <v>0.12520325203252033</v>
      </c>
      <c r="I65" s="3">
        <f t="shared" ca="1" si="4"/>
        <v>68.370965103598692</v>
      </c>
      <c r="J65" s="3">
        <f t="shared" ca="1" si="5"/>
        <v>4.7859675572519089</v>
      </c>
      <c r="K65" s="3">
        <f t="shared" ca="1" si="6"/>
        <v>20.355900974025971</v>
      </c>
    </row>
    <row r="66" spans="3:11" x14ac:dyDescent="0.35">
      <c r="C66" t="str">
        <f t="shared" ca="1" si="0"/>
        <v>2Q2020</v>
      </c>
      <c r="D66" vm="128">
        <f ca="1"/>
        <v>44039</v>
      </c>
      <c r="E66" vm="129">
        <f ca="1"/>
        <v>10.4215</v>
      </c>
      <c r="F66" s="3">
        <f t="shared" ca="1" si="1"/>
        <v>2.520259319286872E-2</v>
      </c>
      <c r="G66" s="3">
        <f t="shared" ca="1" si="2"/>
        <v>0.56361426256077796</v>
      </c>
      <c r="H66" s="3">
        <f t="shared" ca="1" si="3"/>
        <v>0.156645056726094</v>
      </c>
      <c r="I66" s="3">
        <f t="shared" ca="1" si="4"/>
        <v>103.37725884244372</v>
      </c>
      <c r="J66" s="3">
        <f t="shared" ca="1" si="5"/>
        <v>4.6226207764198417</v>
      </c>
      <c r="K66" s="3">
        <f t="shared" ca="1" si="6"/>
        <v>16.6323473874806</v>
      </c>
    </row>
    <row r="67" spans="3:11" x14ac:dyDescent="0.35">
      <c r="C67" t="str">
        <f t="shared" ref="C67:C130" ca="1" si="7">LOOKUP(D67,$N$2:$N$27,$M$2:$M$27)</f>
        <v>2Q2020</v>
      </c>
      <c r="D67" vm="130">
        <f ca="1"/>
        <v>44040</v>
      </c>
      <c r="E67" vm="131">
        <f ca="1"/>
        <v>10.2155</v>
      </c>
      <c r="F67" s="3">
        <f t="shared" ca="1" si="1"/>
        <v>2.520259319286872E-2</v>
      </c>
      <c r="G67" s="3">
        <f t="shared" ca="1" si="2"/>
        <v>0.56361426256077796</v>
      </c>
      <c r="H67" s="3">
        <f t="shared" ca="1" si="3"/>
        <v>0.156645056726094</v>
      </c>
      <c r="I67" s="3">
        <f t="shared" ca="1" si="4"/>
        <v>101.33381832797429</v>
      </c>
      <c r="J67" s="3">
        <f t="shared" ca="1" si="5"/>
        <v>4.5312462257368802</v>
      </c>
      <c r="K67" s="3">
        <f t="shared" ca="1" si="6"/>
        <v>16.303578634247284</v>
      </c>
    </row>
    <row r="68" spans="3:11" x14ac:dyDescent="0.35">
      <c r="C68" t="str">
        <f t="shared" ca="1" si="7"/>
        <v>2Q2020</v>
      </c>
      <c r="D68" vm="132">
        <f ca="1"/>
        <v>44041</v>
      </c>
      <c r="E68" vm="133">
        <f ca="1"/>
        <v>10.4655</v>
      </c>
      <c r="F68" s="3">
        <f t="shared" ref="F68:F131" ca="1" si="8">VLOOKUP($C68,$M$2:$R$27,4,0)/VLOOKUP($C68,$M$2:$R$27,3,0)</f>
        <v>2.520259319286872E-2</v>
      </c>
      <c r="G68" s="3">
        <f t="shared" ref="G68:G131" ca="1" si="9">VLOOKUP($C68,$M$2:$R$27,6,0)/VLOOKUP($C68,$M$2:$R$27,3,0)</f>
        <v>0.56361426256077796</v>
      </c>
      <c r="H68" s="3">
        <f t="shared" ref="H68:H131" ca="1" si="10">VLOOKUP($C68,$M$2:$R$27,5,0)/VLOOKUP($C68,$M$2:$R$27,3,0)</f>
        <v>0.156645056726094</v>
      </c>
      <c r="I68" s="3">
        <f t="shared" ref="I68:I131" ca="1" si="11">$E68/(F68*4)</f>
        <v>103.81372186495177</v>
      </c>
      <c r="J68" s="3">
        <f t="shared" ref="J68:J131" ca="1" si="12">$E68/(G68*4)</f>
        <v>4.6421376707404747</v>
      </c>
      <c r="K68" s="3">
        <f t="shared" ref="K68:K131" ca="1" si="13">$E68/(H68*4)</f>
        <v>16.702569839627525</v>
      </c>
    </row>
    <row r="69" spans="3:11" x14ac:dyDescent="0.35">
      <c r="C69" t="str">
        <f t="shared" ca="1" si="7"/>
        <v>2Q2020</v>
      </c>
      <c r="D69" vm="134">
        <f ca="1"/>
        <v>44042</v>
      </c>
      <c r="E69" vm="135">
        <f ca="1"/>
        <v>10.614000000000001</v>
      </c>
      <c r="F69" s="3">
        <f t="shared" ca="1" si="8"/>
        <v>2.520259319286872E-2</v>
      </c>
      <c r="G69" s="3">
        <f t="shared" ca="1" si="9"/>
        <v>0.56361426256077796</v>
      </c>
      <c r="H69" s="3">
        <f t="shared" ca="1" si="10"/>
        <v>0.156645056726094</v>
      </c>
      <c r="I69" s="3">
        <f t="shared" ca="1" si="11"/>
        <v>105.28678456591641</v>
      </c>
      <c r="J69" s="3">
        <f t="shared" ca="1" si="12"/>
        <v>4.7080071890726103</v>
      </c>
      <c r="K69" s="3">
        <f t="shared" ca="1" si="13"/>
        <v>16.939570615623385</v>
      </c>
    </row>
    <row r="70" spans="3:11" x14ac:dyDescent="0.35">
      <c r="C70" t="str">
        <f t="shared" ca="1" si="7"/>
        <v>2Q2020</v>
      </c>
      <c r="D70" vm="136">
        <f ca="1"/>
        <v>44043</v>
      </c>
      <c r="E70" vm="137">
        <f ca="1"/>
        <v>10.614800000000001</v>
      </c>
      <c r="F70" s="3">
        <f t="shared" ca="1" si="8"/>
        <v>2.520259319286872E-2</v>
      </c>
      <c r="G70" s="3">
        <f t="shared" ca="1" si="9"/>
        <v>0.56361426256077796</v>
      </c>
      <c r="H70" s="3">
        <f t="shared" ca="1" si="10"/>
        <v>0.156645056726094</v>
      </c>
      <c r="I70" s="3">
        <f t="shared" ca="1" si="11"/>
        <v>105.29472025723473</v>
      </c>
      <c r="J70" s="3">
        <f t="shared" ca="1" si="12"/>
        <v>4.7083620416966214</v>
      </c>
      <c r="K70" s="3">
        <f t="shared" ca="1" si="13"/>
        <v>16.940847387480602</v>
      </c>
    </row>
    <row r="71" spans="3:11" x14ac:dyDescent="0.35">
      <c r="C71" t="str">
        <f t="shared" ca="1" si="7"/>
        <v>2Q2020</v>
      </c>
      <c r="D71" vm="138">
        <f ca="1"/>
        <v>44046</v>
      </c>
      <c r="E71" vm="139">
        <f ca="1"/>
        <v>11.010300000000001</v>
      </c>
      <c r="F71" s="3">
        <f t="shared" ca="1" si="8"/>
        <v>2.520259319286872E-2</v>
      </c>
      <c r="G71" s="3">
        <f t="shared" ca="1" si="9"/>
        <v>0.56361426256077796</v>
      </c>
      <c r="H71" s="3">
        <f t="shared" ca="1" si="10"/>
        <v>0.156645056726094</v>
      </c>
      <c r="I71" s="3">
        <f t="shared" ca="1" si="11"/>
        <v>109.21792765273312</v>
      </c>
      <c r="J71" s="3">
        <f t="shared" ca="1" si="12"/>
        <v>4.8837923076923078</v>
      </c>
      <c r="K71" s="3">
        <f t="shared" ca="1" si="13"/>
        <v>17.57205147439214</v>
      </c>
    </row>
    <row r="72" spans="3:11" x14ac:dyDescent="0.35">
      <c r="C72" t="str">
        <f t="shared" ca="1" si="7"/>
        <v>2Q2020</v>
      </c>
      <c r="D72" vm="140">
        <f ca="1"/>
        <v>44047</v>
      </c>
      <c r="E72" vm="141">
        <f ca="1"/>
        <v>11.2278</v>
      </c>
      <c r="F72" s="3">
        <f t="shared" ca="1" si="8"/>
        <v>2.520259319286872E-2</v>
      </c>
      <c r="G72" s="3">
        <f t="shared" ca="1" si="9"/>
        <v>0.56361426256077796</v>
      </c>
      <c r="H72" s="3">
        <f t="shared" ca="1" si="10"/>
        <v>0.156645056726094</v>
      </c>
      <c r="I72" s="3">
        <f t="shared" ca="1" si="11"/>
        <v>111.37544372990354</v>
      </c>
      <c r="J72" s="3">
        <f t="shared" ca="1" si="12"/>
        <v>4.9802678648454348</v>
      </c>
      <c r="K72" s="3">
        <f t="shared" ca="1" si="13"/>
        <v>17.919173823072946</v>
      </c>
    </row>
    <row r="73" spans="3:11" x14ac:dyDescent="0.35">
      <c r="C73" t="str">
        <f t="shared" ca="1" si="7"/>
        <v>2Q2020</v>
      </c>
      <c r="D73" vm="142">
        <f ca="1"/>
        <v>44048</v>
      </c>
      <c r="E73" vm="143">
        <f ca="1"/>
        <v>11.286799999999999</v>
      </c>
      <c r="F73" s="3">
        <f t="shared" ca="1" si="8"/>
        <v>2.520259319286872E-2</v>
      </c>
      <c r="G73" s="3">
        <f t="shared" ca="1" si="9"/>
        <v>0.56361426256077796</v>
      </c>
      <c r="H73" s="3">
        <f t="shared" ca="1" si="10"/>
        <v>0.156645056726094</v>
      </c>
      <c r="I73" s="3">
        <f t="shared" ca="1" si="11"/>
        <v>111.96070096463022</v>
      </c>
      <c r="J73" s="3">
        <f t="shared" ca="1" si="12"/>
        <v>5.0064382458662831</v>
      </c>
      <c r="K73" s="3">
        <f t="shared" ca="1" si="13"/>
        <v>18.01333574754268</v>
      </c>
    </row>
    <row r="74" spans="3:11" x14ac:dyDescent="0.35">
      <c r="C74" t="str">
        <f t="shared" ca="1" si="7"/>
        <v>2Q2020</v>
      </c>
      <c r="D74" vm="144">
        <f ca="1"/>
        <v>44049</v>
      </c>
      <c r="E74" vm="145">
        <f ca="1"/>
        <v>11.3355</v>
      </c>
      <c r="F74" s="3">
        <f t="shared" ca="1" si="8"/>
        <v>2.520259319286872E-2</v>
      </c>
      <c r="G74" s="3">
        <f t="shared" ca="1" si="9"/>
        <v>0.56361426256077796</v>
      </c>
      <c r="H74" s="3">
        <f t="shared" ca="1" si="10"/>
        <v>0.156645056726094</v>
      </c>
      <c r="I74" s="3">
        <f t="shared" ca="1" si="11"/>
        <v>112.44378617363344</v>
      </c>
      <c r="J74" s="3">
        <f t="shared" ca="1" si="12"/>
        <v>5.0280398993529829</v>
      </c>
      <c r="K74" s="3">
        <f t="shared" ca="1" si="13"/>
        <v>18.091059234350752</v>
      </c>
    </row>
    <row r="75" spans="3:11" x14ac:dyDescent="0.35">
      <c r="C75" t="str">
        <f t="shared" ca="1" si="7"/>
        <v>2Q2020</v>
      </c>
      <c r="D75" vm="146">
        <f ca="1"/>
        <v>44050</v>
      </c>
      <c r="E75" vm="147">
        <f ca="1"/>
        <v>11.1995</v>
      </c>
      <c r="F75" s="3">
        <f t="shared" ca="1" si="8"/>
        <v>2.520259319286872E-2</v>
      </c>
      <c r="G75" s="3">
        <f t="shared" ca="1" si="9"/>
        <v>0.56361426256077796</v>
      </c>
      <c r="H75" s="3">
        <f t="shared" ca="1" si="10"/>
        <v>0.156645056726094</v>
      </c>
      <c r="I75" s="3">
        <f t="shared" ca="1" si="11"/>
        <v>111.09471864951769</v>
      </c>
      <c r="J75" s="3">
        <f t="shared" ca="1" si="12"/>
        <v>4.9677149532710283</v>
      </c>
      <c r="K75" s="3">
        <f t="shared" ca="1" si="13"/>
        <v>17.874008018623901</v>
      </c>
    </row>
    <row r="76" spans="3:11" x14ac:dyDescent="0.35">
      <c r="C76" t="str">
        <f t="shared" ca="1" si="7"/>
        <v>2Q2020</v>
      </c>
      <c r="D76" vm="148">
        <f ca="1"/>
        <v>44053</v>
      </c>
      <c r="E76" vm="149">
        <f ca="1"/>
        <v>11.164999999999999</v>
      </c>
      <c r="F76" s="3">
        <f t="shared" ca="1" si="8"/>
        <v>2.520259319286872E-2</v>
      </c>
      <c r="G76" s="3">
        <f t="shared" ca="1" si="9"/>
        <v>0.56361426256077796</v>
      </c>
      <c r="H76" s="3">
        <f t="shared" ca="1" si="10"/>
        <v>0.156645056726094</v>
      </c>
      <c r="I76" s="3">
        <f t="shared" ca="1" si="11"/>
        <v>110.75249196141478</v>
      </c>
      <c r="J76" s="3">
        <f t="shared" ca="1" si="12"/>
        <v>4.9524119338605317</v>
      </c>
      <c r="K76" s="3">
        <f t="shared" ca="1" si="13"/>
        <v>17.818947232281428</v>
      </c>
    </row>
    <row r="77" spans="3:11" x14ac:dyDescent="0.35">
      <c r="C77" t="str">
        <f t="shared" ca="1" si="7"/>
        <v>2Q2020</v>
      </c>
      <c r="D77" vm="150">
        <f ca="1"/>
        <v>44054</v>
      </c>
      <c r="E77" vm="151">
        <f ca="1"/>
        <v>10.85</v>
      </c>
      <c r="F77" s="3">
        <f t="shared" ca="1" si="8"/>
        <v>2.520259319286872E-2</v>
      </c>
      <c r="G77" s="3">
        <f t="shared" ca="1" si="9"/>
        <v>0.56361426256077796</v>
      </c>
      <c r="H77" s="3">
        <f t="shared" ca="1" si="10"/>
        <v>0.156645056726094</v>
      </c>
      <c r="I77" s="3">
        <f t="shared" ca="1" si="11"/>
        <v>107.62781350482315</v>
      </c>
      <c r="J77" s="3">
        <f t="shared" ca="1" si="12"/>
        <v>4.8126887131560023</v>
      </c>
      <c r="K77" s="3">
        <f t="shared" ca="1" si="13"/>
        <v>17.316218313502329</v>
      </c>
    </row>
    <row r="78" spans="3:11" x14ac:dyDescent="0.35">
      <c r="C78" t="str">
        <f t="shared" ca="1" si="7"/>
        <v>2Q2020</v>
      </c>
      <c r="D78" vm="152">
        <f ca="1"/>
        <v>44055</v>
      </c>
      <c r="E78" vm="153">
        <f ca="1"/>
        <v>11.440300000000001</v>
      </c>
      <c r="F78" s="3">
        <f t="shared" ca="1" si="8"/>
        <v>2.520259319286872E-2</v>
      </c>
      <c r="G78" s="3">
        <f t="shared" ca="1" si="9"/>
        <v>0.56361426256077796</v>
      </c>
      <c r="H78" s="3">
        <f t="shared" ca="1" si="10"/>
        <v>0.156645056726094</v>
      </c>
      <c r="I78" s="3">
        <f t="shared" ca="1" si="11"/>
        <v>113.48336173633442</v>
      </c>
      <c r="J78" s="3">
        <f t="shared" ca="1" si="12"/>
        <v>5.0745255930984907</v>
      </c>
      <c r="K78" s="3">
        <f t="shared" ca="1" si="13"/>
        <v>18.258316347646147</v>
      </c>
    </row>
    <row r="79" spans="3:11" x14ac:dyDescent="0.35">
      <c r="C79" t="str">
        <f t="shared" ca="1" si="7"/>
        <v>2Q2020</v>
      </c>
      <c r="D79" vm="154">
        <f ca="1"/>
        <v>44056</v>
      </c>
      <c r="E79" vm="155">
        <f ca="1"/>
        <v>11.443</v>
      </c>
      <c r="F79" s="3">
        <f t="shared" ca="1" si="8"/>
        <v>2.520259319286872E-2</v>
      </c>
      <c r="G79" s="3">
        <f t="shared" ca="1" si="9"/>
        <v>0.56361426256077796</v>
      </c>
      <c r="H79" s="3">
        <f t="shared" ca="1" si="10"/>
        <v>0.156645056726094</v>
      </c>
      <c r="I79" s="3">
        <f t="shared" ca="1" si="11"/>
        <v>113.51014469453376</v>
      </c>
      <c r="J79" s="3">
        <f t="shared" ca="1" si="12"/>
        <v>5.0757232207045293</v>
      </c>
      <c r="K79" s="3">
        <f t="shared" ca="1" si="13"/>
        <v>18.262625452664253</v>
      </c>
    </row>
    <row r="80" spans="3:11" x14ac:dyDescent="0.35">
      <c r="C80" t="str">
        <f t="shared" ca="1" si="7"/>
        <v>2Q2020</v>
      </c>
      <c r="D80" vm="156">
        <f ca="1"/>
        <v>44057</v>
      </c>
      <c r="E80" vm="157">
        <f ca="1"/>
        <v>11.564</v>
      </c>
      <c r="F80" s="3">
        <f t="shared" ca="1" si="8"/>
        <v>2.520259319286872E-2</v>
      </c>
      <c r="G80" s="3">
        <f t="shared" ca="1" si="9"/>
        <v>0.56361426256077796</v>
      </c>
      <c r="H80" s="3">
        <f t="shared" ca="1" si="10"/>
        <v>0.156645056726094</v>
      </c>
      <c r="I80" s="3">
        <f t="shared" ca="1" si="11"/>
        <v>114.71041800643087</v>
      </c>
      <c r="J80" s="3">
        <f t="shared" ca="1" si="12"/>
        <v>5.1293946800862686</v>
      </c>
      <c r="K80" s="3">
        <f t="shared" ca="1" si="13"/>
        <v>18.455737196068288</v>
      </c>
    </row>
    <row r="81" spans="3:11" x14ac:dyDescent="0.35">
      <c r="C81" t="str">
        <f t="shared" ca="1" si="7"/>
        <v>2Q2020</v>
      </c>
      <c r="D81" vm="158">
        <f ca="1"/>
        <v>44060</v>
      </c>
      <c r="E81" vm="159">
        <f ca="1"/>
        <v>12.337</v>
      </c>
      <c r="F81" s="3">
        <f t="shared" ca="1" si="8"/>
        <v>2.520259319286872E-2</v>
      </c>
      <c r="G81" s="3">
        <f t="shared" ca="1" si="9"/>
        <v>0.56361426256077796</v>
      </c>
      <c r="H81" s="3">
        <f t="shared" ca="1" si="10"/>
        <v>0.156645056726094</v>
      </c>
      <c r="I81" s="3">
        <f t="shared" ca="1" si="11"/>
        <v>122.37827974276527</v>
      </c>
      <c r="J81" s="3">
        <f t="shared" ca="1" si="12"/>
        <v>5.4722710280373832</v>
      </c>
      <c r="K81" s="3">
        <f t="shared" ca="1" si="13"/>
        <v>19.689418003103984</v>
      </c>
    </row>
    <row r="82" spans="3:11" x14ac:dyDescent="0.35">
      <c r="C82" t="str">
        <f t="shared" ca="1" si="7"/>
        <v>2Q2020</v>
      </c>
      <c r="D82" vm="160">
        <f ca="1"/>
        <v>44061</v>
      </c>
      <c r="E82" vm="161">
        <f ca="1"/>
        <v>12.2608</v>
      </c>
      <c r="F82" s="3">
        <f t="shared" ca="1" si="8"/>
        <v>2.520259319286872E-2</v>
      </c>
      <c r="G82" s="3">
        <f t="shared" ca="1" si="9"/>
        <v>0.56361426256077796</v>
      </c>
      <c r="H82" s="3">
        <f t="shared" ca="1" si="10"/>
        <v>0.156645056726094</v>
      </c>
      <c r="I82" s="3">
        <f t="shared" ca="1" si="11"/>
        <v>121.62240514469453</v>
      </c>
      <c r="J82" s="3">
        <f t="shared" ca="1" si="12"/>
        <v>5.4384713156002871</v>
      </c>
      <c r="K82" s="3">
        <f t="shared" ca="1" si="13"/>
        <v>19.567805483704088</v>
      </c>
    </row>
    <row r="83" spans="3:11" x14ac:dyDescent="0.35">
      <c r="C83" t="str">
        <f t="shared" ca="1" si="7"/>
        <v>2Q2020</v>
      </c>
      <c r="D83" vm="162">
        <f ca="1"/>
        <v>44062</v>
      </c>
      <c r="E83" vm="163">
        <f ca="1"/>
        <v>12.138500000000001</v>
      </c>
      <c r="F83" s="3">
        <f t="shared" ca="1" si="8"/>
        <v>2.520259319286872E-2</v>
      </c>
      <c r="G83" s="3">
        <f t="shared" ca="1" si="9"/>
        <v>0.56361426256077796</v>
      </c>
      <c r="H83" s="3">
        <f t="shared" ca="1" si="10"/>
        <v>0.156645056726094</v>
      </c>
      <c r="I83" s="3">
        <f t="shared" ca="1" si="11"/>
        <v>120.40923633440515</v>
      </c>
      <c r="J83" s="3">
        <f t="shared" ca="1" si="12"/>
        <v>5.3842232207045297</v>
      </c>
      <c r="K83" s="3">
        <f t="shared" ca="1" si="13"/>
        <v>19.372618986032077</v>
      </c>
    </row>
    <row r="84" spans="3:11" x14ac:dyDescent="0.35">
      <c r="C84" t="str">
        <f t="shared" ca="1" si="7"/>
        <v>2Q2020</v>
      </c>
      <c r="D84" vm="164">
        <f ca="1"/>
        <v>44063</v>
      </c>
      <c r="E84" vm="165">
        <f ca="1"/>
        <v>12.141</v>
      </c>
      <c r="F84" s="3">
        <f t="shared" ca="1" si="8"/>
        <v>2.520259319286872E-2</v>
      </c>
      <c r="G84" s="3">
        <f t="shared" ca="1" si="9"/>
        <v>0.56361426256077796</v>
      </c>
      <c r="H84" s="3">
        <f t="shared" ca="1" si="10"/>
        <v>0.156645056726094</v>
      </c>
      <c r="I84" s="3">
        <f t="shared" ca="1" si="11"/>
        <v>120.43403536977492</v>
      </c>
      <c r="J84" s="3">
        <f t="shared" ca="1" si="12"/>
        <v>5.3853321351545649</v>
      </c>
      <c r="K84" s="3">
        <f t="shared" ca="1" si="13"/>
        <v>19.376608898085877</v>
      </c>
    </row>
    <row r="85" spans="3:11" x14ac:dyDescent="0.35">
      <c r="C85" t="str">
        <f t="shared" ca="1" si="7"/>
        <v>2Q2020</v>
      </c>
      <c r="D85" vm="166">
        <f ca="1"/>
        <v>44064</v>
      </c>
      <c r="E85" vm="167">
        <f ca="1"/>
        <v>12.6835</v>
      </c>
      <c r="F85" s="3">
        <f t="shared" ca="1" si="8"/>
        <v>2.520259319286872E-2</v>
      </c>
      <c r="G85" s="3">
        <f t="shared" ca="1" si="9"/>
        <v>0.56361426256077796</v>
      </c>
      <c r="H85" s="3">
        <f t="shared" ca="1" si="10"/>
        <v>0.156645056726094</v>
      </c>
      <c r="I85" s="3">
        <f t="shared" ca="1" si="11"/>
        <v>125.81542604501608</v>
      </c>
      <c r="J85" s="3">
        <f t="shared" ca="1" si="12"/>
        <v>5.6259665708123654</v>
      </c>
      <c r="K85" s="3">
        <f t="shared" ca="1" si="13"/>
        <v>20.242419813760996</v>
      </c>
    </row>
    <row r="86" spans="3:11" x14ac:dyDescent="0.35">
      <c r="C86" t="str">
        <f t="shared" ca="1" si="7"/>
        <v>2Q2020</v>
      </c>
      <c r="D86" vm="168">
        <f ca="1"/>
        <v>44067</v>
      </c>
      <c r="E86" vm="169">
        <f ca="1"/>
        <v>12.7203</v>
      </c>
      <c r="F86" s="3">
        <f t="shared" ca="1" si="8"/>
        <v>2.520259319286872E-2</v>
      </c>
      <c r="G86" s="3">
        <f t="shared" ca="1" si="9"/>
        <v>0.56361426256077796</v>
      </c>
      <c r="H86" s="3">
        <f t="shared" ca="1" si="10"/>
        <v>0.156645056726094</v>
      </c>
      <c r="I86" s="3">
        <f t="shared" ca="1" si="11"/>
        <v>126.18046784565917</v>
      </c>
      <c r="J86" s="3">
        <f t="shared" ca="1" si="12"/>
        <v>5.6422897915168946</v>
      </c>
      <c r="K86" s="3">
        <f t="shared" ca="1" si="13"/>
        <v>20.301151319192964</v>
      </c>
    </row>
    <row r="87" spans="3:11" x14ac:dyDescent="0.35">
      <c r="C87" t="str">
        <f t="shared" ca="1" si="7"/>
        <v>2Q2020</v>
      </c>
      <c r="D87" vm="170">
        <f ca="1"/>
        <v>44068</v>
      </c>
      <c r="E87" vm="171">
        <f ca="1"/>
        <v>12.75</v>
      </c>
      <c r="F87" s="3">
        <f t="shared" ca="1" si="8"/>
        <v>2.520259319286872E-2</v>
      </c>
      <c r="G87" s="3">
        <f t="shared" ca="1" si="9"/>
        <v>0.56361426256077796</v>
      </c>
      <c r="H87" s="3">
        <f t="shared" ca="1" si="10"/>
        <v>0.156645056726094</v>
      </c>
      <c r="I87" s="3">
        <f t="shared" ca="1" si="11"/>
        <v>126.4750803858521</v>
      </c>
      <c r="J87" s="3">
        <f t="shared" ca="1" si="12"/>
        <v>5.6554636951833217</v>
      </c>
      <c r="K87" s="3">
        <f t="shared" ca="1" si="13"/>
        <v>20.348551474392139</v>
      </c>
    </row>
    <row r="88" spans="3:11" x14ac:dyDescent="0.35">
      <c r="C88" t="str">
        <f t="shared" ca="1" si="7"/>
        <v>2Q2020</v>
      </c>
      <c r="D88" vm="172">
        <f ca="1"/>
        <v>44069</v>
      </c>
      <c r="E88" vm="173">
        <f ca="1"/>
        <v>12.773</v>
      </c>
      <c r="F88" s="3">
        <f t="shared" ca="1" si="8"/>
        <v>2.520259319286872E-2</v>
      </c>
      <c r="G88" s="3">
        <f t="shared" ca="1" si="9"/>
        <v>0.56361426256077796</v>
      </c>
      <c r="H88" s="3">
        <f t="shared" ca="1" si="10"/>
        <v>0.156645056726094</v>
      </c>
      <c r="I88" s="3">
        <f t="shared" ca="1" si="11"/>
        <v>126.70323151125402</v>
      </c>
      <c r="J88" s="3">
        <f t="shared" ca="1" si="12"/>
        <v>5.6656657081236519</v>
      </c>
      <c r="K88" s="3">
        <f t="shared" ca="1" si="13"/>
        <v>20.385258665287118</v>
      </c>
    </row>
    <row r="89" spans="3:11" x14ac:dyDescent="0.35">
      <c r="C89" t="str">
        <f t="shared" ca="1" si="7"/>
        <v>2Q2020</v>
      </c>
      <c r="D89" vm="174">
        <f ca="1"/>
        <v>44070</v>
      </c>
      <c r="E89" vm="175">
        <f ca="1"/>
        <v>12.628299999999999</v>
      </c>
      <c r="F89" s="3">
        <f t="shared" ca="1" si="8"/>
        <v>2.520259319286872E-2</v>
      </c>
      <c r="G89" s="3">
        <f t="shared" ca="1" si="9"/>
        <v>0.56361426256077796</v>
      </c>
      <c r="H89" s="3">
        <f t="shared" ca="1" si="10"/>
        <v>0.156645056726094</v>
      </c>
      <c r="I89" s="3">
        <f t="shared" ca="1" si="11"/>
        <v>125.26786334405143</v>
      </c>
      <c r="J89" s="3">
        <f t="shared" ca="1" si="12"/>
        <v>5.6014817397555712</v>
      </c>
      <c r="K89" s="3">
        <f t="shared" ca="1" si="13"/>
        <v>20.154322555613035</v>
      </c>
    </row>
    <row r="90" spans="3:11" x14ac:dyDescent="0.35">
      <c r="C90" t="str">
        <f t="shared" ca="1" si="7"/>
        <v>2Q2020</v>
      </c>
      <c r="D90" vm="176">
        <f ca="1"/>
        <v>44071</v>
      </c>
      <c r="E90" vm="177">
        <f ca="1"/>
        <v>13.1478</v>
      </c>
      <c r="F90" s="3">
        <f t="shared" ca="1" si="8"/>
        <v>2.520259319286872E-2</v>
      </c>
      <c r="G90" s="3">
        <f t="shared" ca="1" si="9"/>
        <v>0.56361426256077796</v>
      </c>
      <c r="H90" s="3">
        <f t="shared" ca="1" si="10"/>
        <v>0.156645056726094</v>
      </c>
      <c r="I90" s="3">
        <f t="shared" ca="1" si="11"/>
        <v>130.42110289389066</v>
      </c>
      <c r="J90" s="3">
        <f t="shared" ca="1" si="12"/>
        <v>5.8319141624730406</v>
      </c>
      <c r="K90" s="3">
        <f t="shared" ca="1" si="13"/>
        <v>20.983426280393171</v>
      </c>
    </row>
    <row r="91" spans="3:11" x14ac:dyDescent="0.35">
      <c r="C91" t="str">
        <f t="shared" ca="1" si="7"/>
        <v>2Q2020</v>
      </c>
      <c r="D91" vm="178">
        <f ca="1"/>
        <v>44074</v>
      </c>
      <c r="E91" vm="179">
        <f ca="1"/>
        <v>13.374499999999999</v>
      </c>
      <c r="F91" s="3">
        <f t="shared" ca="1" si="8"/>
        <v>2.520259319286872E-2</v>
      </c>
      <c r="G91" s="3">
        <f t="shared" ca="1" si="9"/>
        <v>0.56361426256077796</v>
      </c>
      <c r="H91" s="3">
        <f t="shared" ca="1" si="10"/>
        <v>0.156645056726094</v>
      </c>
      <c r="I91" s="3">
        <f t="shared" ca="1" si="11"/>
        <v>132.66987942122185</v>
      </c>
      <c r="J91" s="3">
        <f t="shared" ca="1" si="12"/>
        <v>5.9324705248023006</v>
      </c>
      <c r="K91" s="3">
        <f t="shared" ca="1" si="13"/>
        <v>21.345231505431972</v>
      </c>
    </row>
    <row r="92" spans="3:11" x14ac:dyDescent="0.35">
      <c r="C92" t="str">
        <f t="shared" ca="1" si="7"/>
        <v>2Q2020</v>
      </c>
      <c r="D92" vm="180">
        <f ca="1"/>
        <v>44075</v>
      </c>
      <c r="E92" vm="181">
        <f ca="1"/>
        <v>13.821</v>
      </c>
      <c r="F92" s="3">
        <f t="shared" ca="1" si="8"/>
        <v>2.520259319286872E-2</v>
      </c>
      <c r="G92" s="3">
        <f t="shared" ca="1" si="9"/>
        <v>0.56361426256077796</v>
      </c>
      <c r="H92" s="3">
        <f t="shared" ca="1" si="10"/>
        <v>0.156645056726094</v>
      </c>
      <c r="I92" s="3">
        <f t="shared" ca="1" si="11"/>
        <v>137.09898713826365</v>
      </c>
      <c r="J92" s="3">
        <f t="shared" ca="1" si="12"/>
        <v>6.1305226455787203</v>
      </c>
      <c r="K92" s="3">
        <f t="shared" ca="1" si="13"/>
        <v>22.057829798241077</v>
      </c>
    </row>
    <row r="93" spans="3:11" x14ac:dyDescent="0.35">
      <c r="C93" t="str">
        <f t="shared" ca="1" si="7"/>
        <v>2Q2020</v>
      </c>
      <c r="D93" vm="182">
        <f ca="1"/>
        <v>44076</v>
      </c>
      <c r="E93" vm="183">
        <f ca="1"/>
        <v>14.346500000000001</v>
      </c>
      <c r="F93" s="3">
        <f t="shared" ca="1" si="8"/>
        <v>2.520259319286872E-2</v>
      </c>
      <c r="G93" s="3">
        <f t="shared" ca="1" si="9"/>
        <v>0.56361426256077796</v>
      </c>
      <c r="H93" s="3">
        <f t="shared" ca="1" si="10"/>
        <v>0.156645056726094</v>
      </c>
      <c r="I93" s="3">
        <f t="shared" ca="1" si="11"/>
        <v>142.31174437299035</v>
      </c>
      <c r="J93" s="3">
        <f t="shared" ca="1" si="12"/>
        <v>6.3636164629762764</v>
      </c>
      <c r="K93" s="3">
        <f t="shared" ca="1" si="13"/>
        <v>22.896509311950339</v>
      </c>
    </row>
    <row r="94" spans="3:11" x14ac:dyDescent="0.35">
      <c r="C94" t="str">
        <f t="shared" ca="1" si="7"/>
        <v>2Q2020</v>
      </c>
      <c r="D94" vm="184">
        <f ca="1"/>
        <v>44077</v>
      </c>
      <c r="E94" vm="185">
        <f ca="1"/>
        <v>13.015499999999999</v>
      </c>
      <c r="F94" s="3">
        <f t="shared" ca="1" si="8"/>
        <v>2.520259319286872E-2</v>
      </c>
      <c r="G94" s="3">
        <f t="shared" ca="1" si="9"/>
        <v>0.56361426256077796</v>
      </c>
      <c r="H94" s="3">
        <f t="shared" ca="1" si="10"/>
        <v>0.156645056726094</v>
      </c>
      <c r="I94" s="3">
        <f t="shared" ca="1" si="11"/>
        <v>129.10873794212219</v>
      </c>
      <c r="J94" s="3">
        <f t="shared" ca="1" si="12"/>
        <v>5.7732304097771383</v>
      </c>
      <c r="K94" s="3">
        <f t="shared" ca="1" si="13"/>
        <v>20.772280134505948</v>
      </c>
    </row>
    <row r="95" spans="3:11" x14ac:dyDescent="0.35">
      <c r="C95" t="str">
        <f t="shared" ca="1" si="7"/>
        <v>2Q2020</v>
      </c>
      <c r="D95" vm="186">
        <f ca="1"/>
        <v>44078</v>
      </c>
      <c r="E95" vm="187">
        <f ca="1"/>
        <v>12.6225</v>
      </c>
      <c r="F95" s="3">
        <f t="shared" ca="1" si="8"/>
        <v>2.520259319286872E-2</v>
      </c>
      <c r="G95" s="3">
        <f t="shared" ca="1" si="9"/>
        <v>0.56361426256077796</v>
      </c>
      <c r="H95" s="3">
        <f t="shared" ca="1" si="10"/>
        <v>0.156645056726094</v>
      </c>
      <c r="I95" s="3">
        <f t="shared" ca="1" si="11"/>
        <v>125.21032958199358</v>
      </c>
      <c r="J95" s="3">
        <f t="shared" ca="1" si="12"/>
        <v>5.598909058231488</v>
      </c>
      <c r="K95" s="3">
        <f t="shared" ca="1" si="13"/>
        <v>20.145065959648218</v>
      </c>
    </row>
    <row r="96" spans="3:11" x14ac:dyDescent="0.35">
      <c r="C96" t="str">
        <f t="shared" ca="1" si="7"/>
        <v>2Q2020</v>
      </c>
      <c r="D96" vm="188">
        <f ca="1"/>
        <v>44082</v>
      </c>
      <c r="E96" vm="189">
        <f ca="1"/>
        <v>11.913</v>
      </c>
      <c r="F96" s="3">
        <f t="shared" ca="1" si="8"/>
        <v>2.520259319286872E-2</v>
      </c>
      <c r="G96" s="3">
        <f t="shared" ca="1" si="9"/>
        <v>0.56361426256077796</v>
      </c>
      <c r="H96" s="3">
        <f t="shared" ca="1" si="10"/>
        <v>0.156645056726094</v>
      </c>
      <c r="I96" s="3">
        <f t="shared" ca="1" si="11"/>
        <v>118.17236334405145</v>
      </c>
      <c r="J96" s="3">
        <f t="shared" ca="1" si="12"/>
        <v>5.2841991373112869</v>
      </c>
      <c r="K96" s="3">
        <f t="shared" ca="1" si="13"/>
        <v>19.0127289187791</v>
      </c>
    </row>
    <row r="97" spans="3:11" x14ac:dyDescent="0.35">
      <c r="C97" t="str">
        <f t="shared" ca="1" si="7"/>
        <v>2Q2020</v>
      </c>
      <c r="D97" vm="190">
        <f ca="1"/>
        <v>44083</v>
      </c>
      <c r="E97" vm="191">
        <f ca="1"/>
        <v>12.715</v>
      </c>
      <c r="F97" s="3">
        <f t="shared" ca="1" si="8"/>
        <v>2.520259319286872E-2</v>
      </c>
      <c r="G97" s="3">
        <f t="shared" ca="1" si="9"/>
        <v>0.56361426256077796</v>
      </c>
      <c r="H97" s="3">
        <f t="shared" ca="1" si="10"/>
        <v>0.156645056726094</v>
      </c>
      <c r="I97" s="3">
        <f t="shared" ca="1" si="11"/>
        <v>126.12789389067524</v>
      </c>
      <c r="J97" s="3">
        <f t="shared" ca="1" si="12"/>
        <v>5.6399388928828182</v>
      </c>
      <c r="K97" s="3">
        <f t="shared" ca="1" si="13"/>
        <v>20.292692705638903</v>
      </c>
    </row>
    <row r="98" spans="3:11" x14ac:dyDescent="0.35">
      <c r="C98" t="str">
        <f t="shared" ca="1" si="7"/>
        <v>2Q2020</v>
      </c>
      <c r="D98" vm="192">
        <f ca="1"/>
        <v>44084</v>
      </c>
      <c r="E98" vm="193">
        <f ca="1"/>
        <v>12.3118</v>
      </c>
      <c r="F98" s="3">
        <f t="shared" ca="1" si="8"/>
        <v>2.520259319286872E-2</v>
      </c>
      <c r="G98" s="3">
        <f t="shared" ca="1" si="9"/>
        <v>0.56361426256077796</v>
      </c>
      <c r="H98" s="3">
        <f t="shared" ca="1" si="10"/>
        <v>0.156645056726094</v>
      </c>
      <c r="I98" s="3">
        <f t="shared" ca="1" si="11"/>
        <v>122.12830546623793</v>
      </c>
      <c r="J98" s="3">
        <f t="shared" ca="1" si="12"/>
        <v>5.4610931703810204</v>
      </c>
      <c r="K98" s="3">
        <f t="shared" ca="1" si="13"/>
        <v>19.649199689601655</v>
      </c>
    </row>
    <row r="99" spans="3:11" x14ac:dyDescent="0.35">
      <c r="C99" t="str">
        <f t="shared" ca="1" si="7"/>
        <v>2Q2020</v>
      </c>
      <c r="D99" vm="194">
        <f ca="1"/>
        <v>44085</v>
      </c>
      <c r="E99" vm="195">
        <f ca="1"/>
        <v>12.1645</v>
      </c>
      <c r="F99" s="3">
        <f t="shared" ca="1" si="8"/>
        <v>2.520259319286872E-2</v>
      </c>
      <c r="G99" s="3">
        <f t="shared" ca="1" si="9"/>
        <v>0.56361426256077796</v>
      </c>
      <c r="H99" s="3">
        <f t="shared" ca="1" si="10"/>
        <v>0.156645056726094</v>
      </c>
      <c r="I99" s="3">
        <f t="shared" ca="1" si="11"/>
        <v>120.6671463022508</v>
      </c>
      <c r="J99" s="3">
        <f t="shared" ca="1" si="12"/>
        <v>5.3957559309849028</v>
      </c>
      <c r="K99" s="3">
        <f t="shared" ca="1" si="13"/>
        <v>19.414114071391619</v>
      </c>
    </row>
    <row r="100" spans="3:11" x14ac:dyDescent="0.35">
      <c r="C100" t="str">
        <f t="shared" ca="1" si="7"/>
        <v>2Q2020</v>
      </c>
      <c r="D100" vm="196">
        <f ca="1"/>
        <v>44088</v>
      </c>
      <c r="E100" vm="197">
        <f ca="1"/>
        <v>12.872299999999999</v>
      </c>
      <c r="F100" s="3">
        <f t="shared" ca="1" si="8"/>
        <v>2.520259319286872E-2</v>
      </c>
      <c r="G100" s="3">
        <f t="shared" ca="1" si="9"/>
        <v>0.56361426256077796</v>
      </c>
      <c r="H100" s="3">
        <f t="shared" ca="1" si="10"/>
        <v>0.156645056726094</v>
      </c>
      <c r="I100" s="3">
        <f t="shared" ca="1" si="11"/>
        <v>127.68824919614147</v>
      </c>
      <c r="J100" s="3">
        <f t="shared" ca="1" si="12"/>
        <v>5.709711790079079</v>
      </c>
      <c r="K100" s="3">
        <f t="shared" ca="1" si="13"/>
        <v>20.54373797206415</v>
      </c>
    </row>
    <row r="101" spans="3:11" x14ac:dyDescent="0.35">
      <c r="C101" t="str">
        <f t="shared" ca="1" si="7"/>
        <v>2Q2020</v>
      </c>
      <c r="D101" vm="198">
        <f ca="1"/>
        <v>44089</v>
      </c>
      <c r="E101" vm="199">
        <f ca="1"/>
        <v>12.991</v>
      </c>
      <c r="F101" s="3">
        <f t="shared" ca="1" si="8"/>
        <v>2.520259319286872E-2</v>
      </c>
      <c r="G101" s="3">
        <f t="shared" ca="1" si="9"/>
        <v>0.56361426256077796</v>
      </c>
      <c r="H101" s="3">
        <f t="shared" ca="1" si="10"/>
        <v>0.156645056726094</v>
      </c>
      <c r="I101" s="3">
        <f t="shared" ca="1" si="11"/>
        <v>128.86570739549839</v>
      </c>
      <c r="J101" s="3">
        <f t="shared" ca="1" si="12"/>
        <v>5.7623630481667867</v>
      </c>
      <c r="K101" s="3">
        <f t="shared" ca="1" si="13"/>
        <v>20.733178996378687</v>
      </c>
    </row>
    <row r="102" spans="3:11" x14ac:dyDescent="0.35">
      <c r="C102" t="str">
        <f t="shared" ca="1" si="7"/>
        <v>2Q2020</v>
      </c>
      <c r="D102" vm="200">
        <f ca="1"/>
        <v>44090</v>
      </c>
      <c r="E102" vm="201">
        <f ca="1"/>
        <v>12.5145</v>
      </c>
      <c r="F102" s="3">
        <f t="shared" ca="1" si="8"/>
        <v>2.520259319286872E-2</v>
      </c>
      <c r="G102" s="3">
        <f t="shared" ca="1" si="9"/>
        <v>0.56361426256077796</v>
      </c>
      <c r="H102" s="3">
        <f t="shared" ca="1" si="10"/>
        <v>0.156645056726094</v>
      </c>
      <c r="I102" s="3">
        <f t="shared" ca="1" si="11"/>
        <v>124.13901125401929</v>
      </c>
      <c r="J102" s="3">
        <f t="shared" ca="1" si="12"/>
        <v>5.5510039539899356</v>
      </c>
      <c r="K102" s="3">
        <f t="shared" ca="1" si="13"/>
        <v>19.972701758923954</v>
      </c>
    </row>
    <row r="103" spans="3:11" x14ac:dyDescent="0.35">
      <c r="C103" t="str">
        <f t="shared" ca="1" si="7"/>
        <v>2Q2020</v>
      </c>
      <c r="D103" vm="202">
        <f ca="1"/>
        <v>44091</v>
      </c>
      <c r="E103" vm="203">
        <f ca="1"/>
        <v>12.4635</v>
      </c>
      <c r="F103" s="3">
        <f t="shared" ca="1" si="8"/>
        <v>2.520259319286872E-2</v>
      </c>
      <c r="G103" s="3">
        <f t="shared" ca="1" si="9"/>
        <v>0.56361426256077796</v>
      </c>
      <c r="H103" s="3">
        <f t="shared" ca="1" si="10"/>
        <v>0.156645056726094</v>
      </c>
      <c r="I103" s="3">
        <f t="shared" ca="1" si="11"/>
        <v>123.63311093247589</v>
      </c>
      <c r="J103" s="3">
        <f t="shared" ca="1" si="12"/>
        <v>5.5283820992092023</v>
      </c>
      <c r="K103" s="3">
        <f t="shared" ca="1" si="13"/>
        <v>19.891307553026383</v>
      </c>
    </row>
    <row r="104" spans="3:11" x14ac:dyDescent="0.35">
      <c r="C104" t="str">
        <f t="shared" ca="1" si="7"/>
        <v>2Q2020</v>
      </c>
      <c r="D104" vm="204">
        <f ca="1"/>
        <v>44092</v>
      </c>
      <c r="E104" vm="205">
        <f ca="1"/>
        <v>12.189299999999999</v>
      </c>
      <c r="F104" s="3">
        <f t="shared" ca="1" si="8"/>
        <v>2.520259319286872E-2</v>
      </c>
      <c r="G104" s="3">
        <f t="shared" ca="1" si="9"/>
        <v>0.56361426256077796</v>
      </c>
      <c r="H104" s="3">
        <f t="shared" ca="1" si="10"/>
        <v>0.156645056726094</v>
      </c>
      <c r="I104" s="3">
        <f t="shared" ca="1" si="11"/>
        <v>120.91315273311896</v>
      </c>
      <c r="J104" s="3">
        <f t="shared" ca="1" si="12"/>
        <v>5.4067563623292596</v>
      </c>
      <c r="K104" s="3">
        <f t="shared" ca="1" si="13"/>
        <v>19.453693998965338</v>
      </c>
    </row>
    <row r="105" spans="3:11" x14ac:dyDescent="0.35">
      <c r="C105" t="str">
        <f t="shared" ca="1" si="7"/>
        <v>2Q2020</v>
      </c>
      <c r="D105" vm="206">
        <f ca="1"/>
        <v>44095</v>
      </c>
      <c r="E105" vm="207">
        <f ca="1"/>
        <v>12.517300000000001</v>
      </c>
      <c r="F105" s="3">
        <f t="shared" ca="1" si="8"/>
        <v>2.520259319286872E-2</v>
      </c>
      <c r="G105" s="3">
        <f t="shared" ca="1" si="9"/>
        <v>0.56361426256077796</v>
      </c>
      <c r="H105" s="3">
        <f t="shared" ca="1" si="10"/>
        <v>0.156645056726094</v>
      </c>
      <c r="I105" s="3">
        <f t="shared" ca="1" si="11"/>
        <v>124.16678617363344</v>
      </c>
      <c r="J105" s="3">
        <f t="shared" ca="1" si="12"/>
        <v>5.5522459381739759</v>
      </c>
      <c r="K105" s="3">
        <f t="shared" ca="1" si="13"/>
        <v>19.977170460424212</v>
      </c>
    </row>
    <row r="106" spans="3:11" x14ac:dyDescent="0.35">
      <c r="C106" t="str">
        <f t="shared" ca="1" si="7"/>
        <v>2Q2020</v>
      </c>
      <c r="D106" vm="208">
        <f ca="1"/>
        <v>44096</v>
      </c>
      <c r="E106" vm="209">
        <f ca="1"/>
        <v>12.6378</v>
      </c>
      <c r="F106" s="3">
        <f t="shared" ca="1" si="8"/>
        <v>2.520259319286872E-2</v>
      </c>
      <c r="G106" s="3">
        <f t="shared" ca="1" si="9"/>
        <v>0.56361426256077796</v>
      </c>
      <c r="H106" s="3">
        <f t="shared" ca="1" si="10"/>
        <v>0.156645056726094</v>
      </c>
      <c r="I106" s="3">
        <f t="shared" ca="1" si="11"/>
        <v>125.36209967845659</v>
      </c>
      <c r="J106" s="3">
        <f t="shared" ca="1" si="12"/>
        <v>5.6056956146657084</v>
      </c>
      <c r="K106" s="3">
        <f t="shared" ca="1" si="13"/>
        <v>20.169484221417488</v>
      </c>
    </row>
    <row r="107" spans="3:11" x14ac:dyDescent="0.35">
      <c r="C107" t="str">
        <f t="shared" ca="1" si="7"/>
        <v>2Q2020</v>
      </c>
      <c r="D107" vm="210">
        <f ca="1"/>
        <v>44097</v>
      </c>
      <c r="E107" vm="211">
        <f ca="1"/>
        <v>12.123799999999999</v>
      </c>
      <c r="F107" s="3">
        <f t="shared" ca="1" si="8"/>
        <v>2.520259319286872E-2</v>
      </c>
      <c r="G107" s="3">
        <f t="shared" ca="1" si="9"/>
        <v>0.56361426256077796</v>
      </c>
      <c r="H107" s="3">
        <f t="shared" ca="1" si="10"/>
        <v>0.156645056726094</v>
      </c>
      <c r="I107" s="3">
        <f t="shared" ca="1" si="11"/>
        <v>120.26341800643085</v>
      </c>
      <c r="J107" s="3">
        <f t="shared" ca="1" si="12"/>
        <v>5.377702803738317</v>
      </c>
      <c r="K107" s="3">
        <f t="shared" ca="1" si="13"/>
        <v>19.349158303155715</v>
      </c>
    </row>
    <row r="108" spans="3:11" x14ac:dyDescent="0.35">
      <c r="C108" t="str">
        <f t="shared" ca="1" si="7"/>
        <v>2Q2020</v>
      </c>
      <c r="D108" vm="212">
        <f ca="1"/>
        <v>44098</v>
      </c>
      <c r="E108" vm="213">
        <f ca="1"/>
        <v>12.348000000000001</v>
      </c>
      <c r="F108" s="3">
        <f t="shared" ca="1" si="8"/>
        <v>2.520259319286872E-2</v>
      </c>
      <c r="G108" s="3">
        <f t="shared" ca="1" si="9"/>
        <v>0.56361426256077796</v>
      </c>
      <c r="H108" s="3">
        <f t="shared" ca="1" si="10"/>
        <v>0.156645056726094</v>
      </c>
      <c r="I108" s="3">
        <f t="shared" ca="1" si="11"/>
        <v>122.48739549839229</v>
      </c>
      <c r="J108" s="3">
        <f t="shared" ca="1" si="12"/>
        <v>5.4771502516175419</v>
      </c>
      <c r="K108" s="3">
        <f t="shared" ca="1" si="13"/>
        <v>19.706973616140715</v>
      </c>
    </row>
    <row r="109" spans="3:11" x14ac:dyDescent="0.35">
      <c r="C109" t="str">
        <f t="shared" ca="1" si="7"/>
        <v>2Q2020</v>
      </c>
      <c r="D109" vm="214">
        <f ca="1"/>
        <v>44099</v>
      </c>
      <c r="E109" vm="215">
        <f ca="1"/>
        <v>12.873799999999999</v>
      </c>
      <c r="F109" s="3">
        <f t="shared" ca="1" si="8"/>
        <v>2.520259319286872E-2</v>
      </c>
      <c r="G109" s="3">
        <f t="shared" ca="1" si="9"/>
        <v>0.56361426256077796</v>
      </c>
      <c r="H109" s="3">
        <f t="shared" ca="1" si="10"/>
        <v>0.156645056726094</v>
      </c>
      <c r="I109" s="3">
        <f t="shared" ca="1" si="11"/>
        <v>127.70312861736333</v>
      </c>
      <c r="J109" s="3">
        <f t="shared" ca="1" si="12"/>
        <v>5.7103771387491014</v>
      </c>
      <c r="K109" s="3">
        <f t="shared" ca="1" si="13"/>
        <v>20.546131919296432</v>
      </c>
    </row>
    <row r="110" spans="3:11" x14ac:dyDescent="0.35">
      <c r="C110" t="str">
        <f t="shared" ca="1" si="7"/>
        <v>2Q2020</v>
      </c>
      <c r="D110" vm="216">
        <f ca="1"/>
        <v>44102</v>
      </c>
      <c r="E110" vm="217">
        <f ca="1"/>
        <v>13.035</v>
      </c>
      <c r="F110" s="3">
        <f t="shared" ca="1" si="8"/>
        <v>2.520259319286872E-2</v>
      </c>
      <c r="G110" s="3">
        <f t="shared" ca="1" si="9"/>
        <v>0.56361426256077796</v>
      </c>
      <c r="H110" s="3">
        <f t="shared" ca="1" si="10"/>
        <v>0.156645056726094</v>
      </c>
      <c r="I110" s="3">
        <f t="shared" ca="1" si="11"/>
        <v>129.30217041800643</v>
      </c>
      <c r="J110" s="3">
        <f t="shared" ca="1" si="12"/>
        <v>5.7818799424874188</v>
      </c>
      <c r="K110" s="3">
        <f t="shared" ca="1" si="13"/>
        <v>20.803401448525609</v>
      </c>
    </row>
    <row r="111" spans="3:11" x14ac:dyDescent="0.35">
      <c r="C111" t="str">
        <f t="shared" ca="1" si="7"/>
        <v>2Q2020</v>
      </c>
      <c r="D111" vm="218">
        <f ca="1"/>
        <v>44103</v>
      </c>
      <c r="E111" vm="219">
        <f ca="1"/>
        <v>13.2258</v>
      </c>
      <c r="F111" s="3">
        <f t="shared" ca="1" si="8"/>
        <v>2.520259319286872E-2</v>
      </c>
      <c r="G111" s="3">
        <f t="shared" ca="1" si="9"/>
        <v>0.56361426256077796</v>
      </c>
      <c r="H111" s="3">
        <f t="shared" ca="1" si="10"/>
        <v>0.156645056726094</v>
      </c>
      <c r="I111" s="3">
        <f t="shared" ca="1" si="11"/>
        <v>131.19483279742764</v>
      </c>
      <c r="J111" s="3">
        <f t="shared" ca="1" si="12"/>
        <v>5.8665122933141625</v>
      </c>
      <c r="K111" s="3">
        <f t="shared" ca="1" si="13"/>
        <v>21.107911536471807</v>
      </c>
    </row>
    <row r="112" spans="3:11" x14ac:dyDescent="0.35">
      <c r="C112" t="str">
        <f t="shared" ca="1" si="7"/>
        <v>2Q2020</v>
      </c>
      <c r="D112" vm="220">
        <f ca="1"/>
        <v>44104</v>
      </c>
      <c r="E112" vm="221">
        <f ca="1"/>
        <v>13.5305</v>
      </c>
      <c r="F112" s="3">
        <f t="shared" ca="1" si="8"/>
        <v>2.520259319286872E-2</v>
      </c>
      <c r="G112" s="3">
        <f t="shared" ca="1" si="9"/>
        <v>0.56361426256077796</v>
      </c>
      <c r="H112" s="3">
        <f t="shared" ca="1" si="10"/>
        <v>0.156645056726094</v>
      </c>
      <c r="I112" s="3">
        <f t="shared" ca="1" si="11"/>
        <v>134.21733922829583</v>
      </c>
      <c r="J112" s="3">
        <f t="shared" ca="1" si="12"/>
        <v>6.0016667864845434</v>
      </c>
      <c r="K112" s="3">
        <f t="shared" ca="1" si="13"/>
        <v>21.59420201758924</v>
      </c>
    </row>
    <row r="113" spans="3:11" x14ac:dyDescent="0.35">
      <c r="C113" t="str">
        <f t="shared" ca="1" si="7"/>
        <v>2Q2020</v>
      </c>
      <c r="D113" vm="222">
        <f ca="1"/>
        <v>44105</v>
      </c>
      <c r="E113" vm="223">
        <f ca="1"/>
        <v>13.6145</v>
      </c>
      <c r="F113" s="3">
        <f t="shared" ca="1" si="8"/>
        <v>2.520259319286872E-2</v>
      </c>
      <c r="G113" s="3">
        <f t="shared" ca="1" si="9"/>
        <v>0.56361426256077796</v>
      </c>
      <c r="H113" s="3">
        <f t="shared" ca="1" si="10"/>
        <v>0.156645056726094</v>
      </c>
      <c r="I113" s="3">
        <f t="shared" ca="1" si="11"/>
        <v>135.05058681672026</v>
      </c>
      <c r="J113" s="3">
        <f t="shared" ca="1" si="12"/>
        <v>6.038926312005751</v>
      </c>
      <c r="K113" s="3">
        <f t="shared" ca="1" si="13"/>
        <v>21.728263062597001</v>
      </c>
    </row>
    <row r="114" spans="3:11" x14ac:dyDescent="0.35">
      <c r="C114" t="str">
        <f t="shared" ca="1" si="7"/>
        <v>2Q2020</v>
      </c>
      <c r="D114" vm="224">
        <f ca="1"/>
        <v>44106</v>
      </c>
      <c r="E114" vm="225">
        <f ca="1"/>
        <v>13.0623</v>
      </c>
      <c r="F114" s="3">
        <f t="shared" ca="1" si="8"/>
        <v>2.520259319286872E-2</v>
      </c>
      <c r="G114" s="3">
        <f t="shared" ca="1" si="9"/>
        <v>0.56361426256077796</v>
      </c>
      <c r="H114" s="3">
        <f t="shared" ca="1" si="10"/>
        <v>0.156645056726094</v>
      </c>
      <c r="I114" s="3">
        <f t="shared" ca="1" si="11"/>
        <v>129.57297588424439</v>
      </c>
      <c r="J114" s="3">
        <f t="shared" ca="1" si="12"/>
        <v>5.7939892882818116</v>
      </c>
      <c r="K114" s="3">
        <f t="shared" ca="1" si="13"/>
        <v>20.846971288153131</v>
      </c>
    </row>
    <row r="115" spans="3:11" x14ac:dyDescent="0.35">
      <c r="C115" t="str">
        <f t="shared" ca="1" si="7"/>
        <v>2Q2020</v>
      </c>
      <c r="D115" vm="226">
        <f ca="1"/>
        <v>44109</v>
      </c>
      <c r="E115" vm="227">
        <f ca="1"/>
        <v>13.6425</v>
      </c>
      <c r="F115" s="3">
        <f t="shared" ca="1" si="8"/>
        <v>2.520259319286872E-2</v>
      </c>
      <c r="G115" s="3">
        <f t="shared" ca="1" si="9"/>
        <v>0.56361426256077796</v>
      </c>
      <c r="H115" s="3">
        <f t="shared" ca="1" si="10"/>
        <v>0.156645056726094</v>
      </c>
      <c r="I115" s="3">
        <f t="shared" ca="1" si="11"/>
        <v>135.32833601286174</v>
      </c>
      <c r="J115" s="3">
        <f t="shared" ca="1" si="12"/>
        <v>6.0513461538461542</v>
      </c>
      <c r="K115" s="3">
        <f t="shared" ca="1" si="13"/>
        <v>21.772950077599589</v>
      </c>
    </row>
    <row r="116" spans="3:11" x14ac:dyDescent="0.35">
      <c r="C116" t="str">
        <f t="shared" ca="1" si="7"/>
        <v>2Q2020</v>
      </c>
      <c r="D116" vm="228">
        <f ca="1"/>
        <v>44110</v>
      </c>
      <c r="E116" vm="229">
        <f ca="1"/>
        <v>13.736499999999999</v>
      </c>
      <c r="F116" s="3">
        <f t="shared" ca="1" si="8"/>
        <v>2.520259319286872E-2</v>
      </c>
      <c r="G116" s="3">
        <f t="shared" ca="1" si="9"/>
        <v>0.56361426256077796</v>
      </c>
      <c r="H116" s="3">
        <f t="shared" ca="1" si="10"/>
        <v>0.156645056726094</v>
      </c>
      <c r="I116" s="3">
        <f t="shared" ca="1" si="11"/>
        <v>136.26077974276527</v>
      </c>
      <c r="J116" s="3">
        <f t="shared" ca="1" si="12"/>
        <v>6.093041337167505</v>
      </c>
      <c r="K116" s="3">
        <f t="shared" ca="1" si="13"/>
        <v>21.922970770822555</v>
      </c>
    </row>
    <row r="117" spans="3:11" x14ac:dyDescent="0.35">
      <c r="C117" t="str">
        <f t="shared" ca="1" si="7"/>
        <v>2Q2020</v>
      </c>
      <c r="D117" vm="230">
        <f ca="1"/>
        <v>44111</v>
      </c>
      <c r="E117" vm="231">
        <f ca="1"/>
        <v>13.964</v>
      </c>
      <c r="F117" s="3">
        <f t="shared" ca="1" si="8"/>
        <v>2.520259319286872E-2</v>
      </c>
      <c r="G117" s="3">
        <f t="shared" ca="1" si="9"/>
        <v>0.56361426256077796</v>
      </c>
      <c r="H117" s="3">
        <f t="shared" ca="1" si="10"/>
        <v>0.156645056726094</v>
      </c>
      <c r="I117" s="3">
        <f t="shared" ca="1" si="11"/>
        <v>138.51749196141481</v>
      </c>
      <c r="J117" s="3">
        <f t="shared" ca="1" si="12"/>
        <v>6.193952552120777</v>
      </c>
      <c r="K117" s="3">
        <f t="shared" ca="1" si="13"/>
        <v>22.286052767718573</v>
      </c>
    </row>
    <row r="118" spans="3:11" x14ac:dyDescent="0.35">
      <c r="C118" t="str">
        <f t="shared" ca="1" si="7"/>
        <v>2Q2020</v>
      </c>
      <c r="D118" vm="232">
        <f ca="1"/>
        <v>44112</v>
      </c>
      <c r="E118" vm="233">
        <f ca="1"/>
        <v>13.838800000000001</v>
      </c>
      <c r="F118" s="3">
        <f t="shared" ca="1" si="8"/>
        <v>2.520259319286872E-2</v>
      </c>
      <c r="G118" s="3">
        <f t="shared" ca="1" si="9"/>
        <v>0.56361426256077796</v>
      </c>
      <c r="H118" s="3">
        <f t="shared" ca="1" si="10"/>
        <v>0.156645056726094</v>
      </c>
      <c r="I118" s="3">
        <f t="shared" ca="1" si="11"/>
        <v>137.27555627009647</v>
      </c>
      <c r="J118" s="3">
        <f t="shared" ca="1" si="12"/>
        <v>6.1384181164629767</v>
      </c>
      <c r="K118" s="3">
        <f t="shared" ca="1" si="13"/>
        <v>22.086237972064151</v>
      </c>
    </row>
    <row r="119" spans="3:11" x14ac:dyDescent="0.35">
      <c r="C119" t="str">
        <f t="shared" ca="1" si="7"/>
        <v>2Q2020</v>
      </c>
      <c r="D119" vm="234">
        <f ca="1"/>
        <v>44113</v>
      </c>
      <c r="E119" vm="235">
        <f ca="1"/>
        <v>13.7628</v>
      </c>
      <c r="F119" s="3">
        <f t="shared" ca="1" si="8"/>
        <v>2.520259319286872E-2</v>
      </c>
      <c r="G119" s="3">
        <f t="shared" ca="1" si="9"/>
        <v>0.56361426256077796</v>
      </c>
      <c r="H119" s="3">
        <f t="shared" ca="1" si="10"/>
        <v>0.156645056726094</v>
      </c>
      <c r="I119" s="3">
        <f t="shared" ca="1" si="11"/>
        <v>136.52166559485531</v>
      </c>
      <c r="J119" s="3">
        <f t="shared" ca="1" si="12"/>
        <v>6.1047071171818841</v>
      </c>
      <c r="K119" s="3">
        <f t="shared" ca="1" si="13"/>
        <v>21.96494464562856</v>
      </c>
    </row>
    <row r="120" spans="3:11" x14ac:dyDescent="0.35">
      <c r="C120" t="str">
        <f t="shared" ca="1" si="7"/>
        <v>2Q2020</v>
      </c>
      <c r="D120" vm="236">
        <f ca="1"/>
        <v>44116</v>
      </c>
      <c r="E120" vm="237">
        <f ca="1"/>
        <v>14.226000000000001</v>
      </c>
      <c r="F120" s="3">
        <f t="shared" ca="1" si="8"/>
        <v>2.520259319286872E-2</v>
      </c>
      <c r="G120" s="3">
        <f t="shared" ca="1" si="9"/>
        <v>0.56361426256077796</v>
      </c>
      <c r="H120" s="3">
        <f t="shared" ca="1" si="10"/>
        <v>0.156645056726094</v>
      </c>
      <c r="I120" s="3">
        <f t="shared" ca="1" si="11"/>
        <v>141.11643086816721</v>
      </c>
      <c r="J120" s="3">
        <f t="shared" ca="1" si="12"/>
        <v>6.3101667864845439</v>
      </c>
      <c r="K120" s="3">
        <f t="shared" ca="1" si="13"/>
        <v>22.704195550957063</v>
      </c>
    </row>
    <row r="121" spans="3:11" x14ac:dyDescent="0.35">
      <c r="C121" t="str">
        <f t="shared" ca="1" si="7"/>
        <v>2Q2020</v>
      </c>
      <c r="D121" vm="238">
        <f ca="1"/>
        <v>44117</v>
      </c>
      <c r="E121" vm="239">
        <f ca="1"/>
        <v>14.2483</v>
      </c>
      <c r="F121" s="3">
        <f t="shared" ca="1" si="8"/>
        <v>2.520259319286872E-2</v>
      </c>
      <c r="G121" s="3">
        <f t="shared" ca="1" si="9"/>
        <v>0.56361426256077796</v>
      </c>
      <c r="H121" s="3">
        <f t="shared" ca="1" si="10"/>
        <v>0.156645056726094</v>
      </c>
      <c r="I121" s="3">
        <f t="shared" ca="1" si="11"/>
        <v>141.33763826366561</v>
      </c>
      <c r="J121" s="3">
        <f t="shared" ca="1" si="12"/>
        <v>6.3200583033788647</v>
      </c>
      <c r="K121" s="3">
        <f t="shared" ca="1" si="13"/>
        <v>22.739785566476982</v>
      </c>
    </row>
    <row r="122" spans="3:11" x14ac:dyDescent="0.35">
      <c r="C122" t="str">
        <f t="shared" ca="1" si="7"/>
        <v>2Q2020</v>
      </c>
      <c r="D122" vm="240">
        <f ca="1"/>
        <v>44118</v>
      </c>
      <c r="E122" vm="241">
        <f ca="1"/>
        <v>14.0953</v>
      </c>
      <c r="F122" s="3">
        <f t="shared" ca="1" si="8"/>
        <v>2.520259319286872E-2</v>
      </c>
      <c r="G122" s="3">
        <f t="shared" ca="1" si="9"/>
        <v>0.56361426256077796</v>
      </c>
      <c r="H122" s="3">
        <f t="shared" ca="1" si="10"/>
        <v>0.156645056726094</v>
      </c>
      <c r="I122" s="3">
        <f t="shared" ca="1" si="11"/>
        <v>139.81993729903536</v>
      </c>
      <c r="J122" s="3">
        <f t="shared" ca="1" si="12"/>
        <v>6.2521927390366638</v>
      </c>
      <c r="K122" s="3">
        <f t="shared" ca="1" si="13"/>
        <v>22.495602948784274</v>
      </c>
    </row>
    <row r="123" spans="3:11" x14ac:dyDescent="0.35">
      <c r="C123" t="str">
        <f t="shared" ca="1" si="7"/>
        <v>2Q2020</v>
      </c>
      <c r="D123" vm="242">
        <f ca="1"/>
        <v>44119</v>
      </c>
      <c r="E123" vm="243">
        <f ca="1"/>
        <v>13.97</v>
      </c>
      <c r="F123" s="3">
        <f t="shared" ca="1" si="8"/>
        <v>2.520259319286872E-2</v>
      </c>
      <c r="G123" s="3">
        <f t="shared" ca="1" si="9"/>
        <v>0.56361426256077796</v>
      </c>
      <c r="H123" s="3">
        <f t="shared" ca="1" si="10"/>
        <v>0.156645056726094</v>
      </c>
      <c r="I123" s="3">
        <f t="shared" ca="1" si="11"/>
        <v>138.57700964630226</v>
      </c>
      <c r="J123" s="3">
        <f t="shared" ca="1" si="12"/>
        <v>6.1966139468008627</v>
      </c>
      <c r="K123" s="3">
        <f t="shared" ca="1" si="13"/>
        <v>22.295628556647699</v>
      </c>
    </row>
    <row r="124" spans="3:11" x14ac:dyDescent="0.35">
      <c r="C124" t="str">
        <f t="shared" ca="1" si="7"/>
        <v>2Q2020</v>
      </c>
      <c r="D124" vm="244">
        <f ca="1"/>
        <v>44120</v>
      </c>
      <c r="E124" vm="245">
        <f ca="1"/>
        <v>13.811500000000001</v>
      </c>
      <c r="F124" s="3">
        <f t="shared" ca="1" si="8"/>
        <v>2.520259319286872E-2</v>
      </c>
      <c r="G124" s="3">
        <f t="shared" ca="1" si="9"/>
        <v>0.56361426256077796</v>
      </c>
      <c r="H124" s="3">
        <f t="shared" ca="1" si="10"/>
        <v>0.156645056726094</v>
      </c>
      <c r="I124" s="3">
        <f t="shared" ca="1" si="11"/>
        <v>137.00475080385851</v>
      </c>
      <c r="J124" s="3">
        <f t="shared" ca="1" si="12"/>
        <v>6.1263087706685839</v>
      </c>
      <c r="K124" s="3">
        <f t="shared" ca="1" si="13"/>
        <v>22.042668132436628</v>
      </c>
    </row>
    <row r="125" spans="3:11" x14ac:dyDescent="0.35">
      <c r="C125" t="str">
        <f t="shared" ca="1" si="7"/>
        <v>2Q2020</v>
      </c>
      <c r="D125" vm="246">
        <f ca="1"/>
        <v>44123</v>
      </c>
      <c r="E125" vm="247">
        <f ca="1"/>
        <v>13.4978</v>
      </c>
      <c r="F125" s="3">
        <f t="shared" ca="1" si="8"/>
        <v>2.520259319286872E-2</v>
      </c>
      <c r="G125" s="3">
        <f t="shared" ca="1" si="9"/>
        <v>0.56361426256077796</v>
      </c>
      <c r="H125" s="3">
        <f t="shared" ca="1" si="10"/>
        <v>0.156645056726094</v>
      </c>
      <c r="I125" s="3">
        <f t="shared" ca="1" si="11"/>
        <v>133.89296784565917</v>
      </c>
      <c r="J125" s="3">
        <f t="shared" ca="1" si="12"/>
        <v>5.9871621854780734</v>
      </c>
      <c r="K125" s="3">
        <f t="shared" ca="1" si="13"/>
        <v>21.542013967925506</v>
      </c>
    </row>
    <row r="126" spans="3:11" x14ac:dyDescent="0.35">
      <c r="C126" t="str">
        <f t="shared" ca="1" si="7"/>
        <v>2Q2020</v>
      </c>
      <c r="D126" vm="248">
        <f ca="1"/>
        <v>44124</v>
      </c>
      <c r="E126" vm="249">
        <f ca="1"/>
        <v>13.6455</v>
      </c>
      <c r="F126" s="3">
        <f t="shared" ca="1" si="8"/>
        <v>2.520259319286872E-2</v>
      </c>
      <c r="G126" s="3">
        <f t="shared" ca="1" si="9"/>
        <v>0.56361426256077796</v>
      </c>
      <c r="H126" s="3">
        <f t="shared" ca="1" si="10"/>
        <v>0.156645056726094</v>
      </c>
      <c r="I126" s="3">
        <f t="shared" ca="1" si="11"/>
        <v>135.35809485530547</v>
      </c>
      <c r="J126" s="3">
        <f t="shared" ca="1" si="12"/>
        <v>6.052676851186197</v>
      </c>
      <c r="K126" s="3">
        <f t="shared" ca="1" si="13"/>
        <v>21.777737972064152</v>
      </c>
    </row>
    <row r="127" spans="3:11" x14ac:dyDescent="0.35">
      <c r="C127" t="str">
        <f t="shared" ca="1" si="7"/>
        <v>2Q2020</v>
      </c>
      <c r="D127" vm="250">
        <f ca="1"/>
        <v>44125</v>
      </c>
      <c r="E127" vm="251">
        <f ca="1"/>
        <v>13.524800000000001</v>
      </c>
      <c r="F127" s="3">
        <f t="shared" ca="1" si="8"/>
        <v>2.520259319286872E-2</v>
      </c>
      <c r="G127" s="3">
        <f t="shared" ca="1" si="9"/>
        <v>0.56361426256077796</v>
      </c>
      <c r="H127" s="3">
        <f t="shared" ca="1" si="10"/>
        <v>0.156645056726094</v>
      </c>
      <c r="I127" s="3">
        <f t="shared" ca="1" si="11"/>
        <v>134.16079742765274</v>
      </c>
      <c r="J127" s="3">
        <f t="shared" ca="1" si="12"/>
        <v>5.999138461538462</v>
      </c>
      <c r="K127" s="3">
        <f t="shared" ca="1" si="13"/>
        <v>21.585105018106571</v>
      </c>
    </row>
    <row r="128" spans="3:11" x14ac:dyDescent="0.35">
      <c r="C128" t="str">
        <f t="shared" ca="1" si="7"/>
        <v>2Q2020</v>
      </c>
      <c r="D128" vm="252">
        <f ca="1"/>
        <v>44126</v>
      </c>
      <c r="E128" vm="253">
        <f ca="1"/>
        <v>13.361000000000001</v>
      </c>
      <c r="F128" s="3">
        <f t="shared" ca="1" si="8"/>
        <v>2.520259319286872E-2</v>
      </c>
      <c r="G128" s="3">
        <f t="shared" ca="1" si="9"/>
        <v>0.56361426256077796</v>
      </c>
      <c r="H128" s="3">
        <f t="shared" ca="1" si="10"/>
        <v>0.156645056726094</v>
      </c>
      <c r="I128" s="3">
        <f t="shared" ca="1" si="11"/>
        <v>132.5359646302251</v>
      </c>
      <c r="J128" s="3">
        <f t="shared" ca="1" si="12"/>
        <v>5.9264823867721068</v>
      </c>
      <c r="K128" s="3">
        <f t="shared" ca="1" si="13"/>
        <v>21.323685980341441</v>
      </c>
    </row>
    <row r="129" spans="3:11" x14ac:dyDescent="0.35">
      <c r="C129" t="str">
        <f t="shared" ca="1" si="7"/>
        <v>2Q2020</v>
      </c>
      <c r="D129" vm="254">
        <f ca="1"/>
        <v>44127</v>
      </c>
      <c r="E129" vm="255">
        <f ca="1"/>
        <v>13.590299999999999</v>
      </c>
      <c r="F129" s="3">
        <f t="shared" ca="1" si="8"/>
        <v>2.520259319286872E-2</v>
      </c>
      <c r="G129" s="3">
        <f t="shared" ca="1" si="9"/>
        <v>0.56361426256077796</v>
      </c>
      <c r="H129" s="3">
        <f t="shared" ca="1" si="10"/>
        <v>0.156645056726094</v>
      </c>
      <c r="I129" s="3">
        <f t="shared" ca="1" si="11"/>
        <v>134.81053215434082</v>
      </c>
      <c r="J129" s="3">
        <f t="shared" ca="1" si="12"/>
        <v>6.0281920201294028</v>
      </c>
      <c r="K129" s="3">
        <f t="shared" ca="1" si="13"/>
        <v>21.689640713916191</v>
      </c>
    </row>
    <row r="130" spans="3:11" x14ac:dyDescent="0.35">
      <c r="C130" t="str">
        <f t="shared" ca="1" si="7"/>
        <v>3Q2020</v>
      </c>
      <c r="D130" vm="256">
        <f ca="1"/>
        <v>44130</v>
      </c>
      <c r="E130" vm="257">
        <f ca="1"/>
        <v>13.141299999999999</v>
      </c>
      <c r="F130" s="3">
        <f t="shared" ca="1" si="8"/>
        <v>5.3957996768982226E-2</v>
      </c>
      <c r="G130" s="3">
        <f t="shared" ca="1" si="9"/>
        <v>0.61914378029079165</v>
      </c>
      <c r="H130" s="3">
        <f t="shared" ca="1" si="10"/>
        <v>0.19087237479806138</v>
      </c>
      <c r="I130" s="3">
        <f t="shared" ca="1" si="11"/>
        <v>60.886711826347309</v>
      </c>
      <c r="J130" s="3">
        <f t="shared" ca="1" si="12"/>
        <v>5.3062392041748199</v>
      </c>
      <c r="K130" s="3">
        <f t="shared" ca="1" si="13"/>
        <v>17.21215552264071</v>
      </c>
    </row>
    <row r="131" spans="3:11" x14ac:dyDescent="0.35">
      <c r="C131" t="str">
        <f t="shared" ref="C131:C194" ca="1" si="14">LOOKUP(D131,$N$2:$N$27,$M$2:$M$27)</f>
        <v>3Q2020</v>
      </c>
      <c r="D131" vm="258">
        <f ca="1"/>
        <v>44131</v>
      </c>
      <c r="E131" vm="259">
        <f ca="1"/>
        <v>13.396800000000001</v>
      </c>
      <c r="F131" s="3">
        <f t="shared" ca="1" si="8"/>
        <v>5.3957996768982226E-2</v>
      </c>
      <c r="G131" s="3">
        <f t="shared" ca="1" si="9"/>
        <v>0.61914378029079165</v>
      </c>
      <c r="H131" s="3">
        <f t="shared" ca="1" si="10"/>
        <v>0.19087237479806138</v>
      </c>
      <c r="I131" s="3">
        <f t="shared" ca="1" si="11"/>
        <v>62.070502994011981</v>
      </c>
      <c r="J131" s="3">
        <f t="shared" ca="1" si="12"/>
        <v>5.4094058708414874</v>
      </c>
      <c r="K131" s="3">
        <f t="shared" ca="1" si="13"/>
        <v>17.546803216250531</v>
      </c>
    </row>
    <row r="132" spans="3:11" x14ac:dyDescent="0.35">
      <c r="C132" t="str">
        <f t="shared" ca="1" si="14"/>
        <v>3Q2020</v>
      </c>
      <c r="D132" vm="260">
        <f ca="1"/>
        <v>44132</v>
      </c>
      <c r="E132" vm="261">
        <f ca="1"/>
        <v>12.627000000000001</v>
      </c>
      <c r="F132" s="3">
        <f t="shared" ref="F132:F195" ca="1" si="15">VLOOKUP($C132,$M$2:$R$27,4,0)/VLOOKUP($C132,$M$2:$R$27,3,0)</f>
        <v>5.3957996768982226E-2</v>
      </c>
      <c r="G132" s="3">
        <f t="shared" ref="G132:G195" ca="1" si="16">VLOOKUP($C132,$M$2:$R$27,6,0)/VLOOKUP($C132,$M$2:$R$27,3,0)</f>
        <v>0.61914378029079165</v>
      </c>
      <c r="H132" s="3">
        <f t="shared" ref="H132:H195" ca="1" si="17">VLOOKUP($C132,$M$2:$R$27,5,0)/VLOOKUP($C132,$M$2:$R$27,3,0)</f>
        <v>0.19087237479806138</v>
      </c>
      <c r="I132" s="3">
        <f t="shared" ref="I132:I195" ca="1" si="18">$E132/(F132*4)</f>
        <v>58.503839820359289</v>
      </c>
      <c r="J132" s="3">
        <f t="shared" ref="J132:J195" ca="1" si="19">$E132/(G132*4)</f>
        <v>5.0985733855185913</v>
      </c>
      <c r="K132" s="3">
        <f t="shared" ref="K132:K195" ca="1" si="20">$E132/(H132*4)</f>
        <v>16.538537875581888</v>
      </c>
    </row>
    <row r="133" spans="3:11" x14ac:dyDescent="0.35">
      <c r="C133" t="str">
        <f t="shared" ca="1" si="14"/>
        <v>3Q2020</v>
      </c>
      <c r="D133" vm="262">
        <f ca="1"/>
        <v>44133</v>
      </c>
      <c r="E133" vm="263">
        <f ca="1"/>
        <v>13.023999999999999</v>
      </c>
      <c r="F133" s="3">
        <f t="shared" ca="1" si="15"/>
        <v>5.3957996768982226E-2</v>
      </c>
      <c r="G133" s="3">
        <f t="shared" ca="1" si="16"/>
        <v>0.61914378029079165</v>
      </c>
      <c r="H133" s="3">
        <f t="shared" ca="1" si="17"/>
        <v>0.19087237479806138</v>
      </c>
      <c r="I133" s="3">
        <f t="shared" ca="1" si="18"/>
        <v>60.343233532934129</v>
      </c>
      <c r="J133" s="3">
        <f t="shared" ca="1" si="19"/>
        <v>5.2588754076973245</v>
      </c>
      <c r="K133" s="3">
        <f t="shared" ca="1" si="20"/>
        <v>17.058518831993229</v>
      </c>
    </row>
    <row r="134" spans="3:11" x14ac:dyDescent="0.35">
      <c r="C134" t="str">
        <f t="shared" ca="1" si="14"/>
        <v>3Q2020</v>
      </c>
      <c r="D134" vm="264">
        <f ca="1"/>
        <v>44134</v>
      </c>
      <c r="E134" vm="265">
        <f ca="1"/>
        <v>12.534000000000001</v>
      </c>
      <c r="F134" s="3">
        <f t="shared" ca="1" si="15"/>
        <v>5.3957996768982226E-2</v>
      </c>
      <c r="G134" s="3">
        <f t="shared" ca="1" si="16"/>
        <v>0.61914378029079165</v>
      </c>
      <c r="H134" s="3">
        <f t="shared" ca="1" si="17"/>
        <v>0.19087237479806138</v>
      </c>
      <c r="I134" s="3">
        <f t="shared" ca="1" si="18"/>
        <v>58.072949101796411</v>
      </c>
      <c r="J134" s="3">
        <f t="shared" ca="1" si="19"/>
        <v>5.061021526418787</v>
      </c>
      <c r="K134" s="3">
        <f t="shared" ca="1" si="20"/>
        <v>16.416728734659333</v>
      </c>
    </row>
    <row r="135" spans="3:11" x14ac:dyDescent="0.35">
      <c r="C135" t="str">
        <f t="shared" ca="1" si="14"/>
        <v>3Q2020</v>
      </c>
      <c r="D135" vm="266">
        <f ca="1"/>
        <v>44137</v>
      </c>
      <c r="E135" vm="267">
        <f ca="1"/>
        <v>12.5808</v>
      </c>
      <c r="F135" s="3">
        <f t="shared" ca="1" si="15"/>
        <v>5.3957996768982226E-2</v>
      </c>
      <c r="G135" s="3">
        <f t="shared" ca="1" si="16"/>
        <v>0.61914378029079165</v>
      </c>
      <c r="H135" s="3">
        <f t="shared" ca="1" si="17"/>
        <v>0.19087237479806138</v>
      </c>
      <c r="I135" s="3">
        <f t="shared" ca="1" si="18"/>
        <v>58.289784431137726</v>
      </c>
      <c r="J135" s="3">
        <f t="shared" ca="1" si="19"/>
        <v>5.0799185909980427</v>
      </c>
      <c r="K135" s="3">
        <f t="shared" ca="1" si="20"/>
        <v>16.478026237833262</v>
      </c>
    </row>
    <row r="136" spans="3:11" x14ac:dyDescent="0.35">
      <c r="C136" t="str">
        <f t="shared" ca="1" si="14"/>
        <v>3Q2020</v>
      </c>
      <c r="D136" vm="268">
        <f ca="1"/>
        <v>44138</v>
      </c>
      <c r="E136" vm="269">
        <f ca="1"/>
        <v>13.019500000000001</v>
      </c>
      <c r="F136" s="3">
        <f t="shared" ca="1" si="15"/>
        <v>5.3957996768982226E-2</v>
      </c>
      <c r="G136" s="3">
        <f t="shared" ca="1" si="16"/>
        <v>0.61914378029079165</v>
      </c>
      <c r="H136" s="3">
        <f t="shared" ca="1" si="17"/>
        <v>0.19087237479806138</v>
      </c>
      <c r="I136" s="3">
        <f t="shared" ca="1" si="18"/>
        <v>60.322383982035937</v>
      </c>
      <c r="J136" s="3">
        <f t="shared" ca="1" si="19"/>
        <v>5.2570583822570125</v>
      </c>
      <c r="K136" s="3">
        <f t="shared" ca="1" si="20"/>
        <v>17.05262484130343</v>
      </c>
    </row>
    <row r="137" spans="3:11" x14ac:dyDescent="0.35">
      <c r="C137" t="str">
        <f t="shared" ca="1" si="14"/>
        <v>3Q2020</v>
      </c>
      <c r="D137" vm="270">
        <f ca="1"/>
        <v>44139</v>
      </c>
      <c r="E137" vm="271">
        <f ca="1"/>
        <v>13.7943</v>
      </c>
      <c r="F137" s="3">
        <f t="shared" ca="1" si="15"/>
        <v>5.3957996768982226E-2</v>
      </c>
      <c r="G137" s="3">
        <f t="shared" ca="1" si="16"/>
        <v>0.61914378029079165</v>
      </c>
      <c r="H137" s="3">
        <f t="shared" ca="1" si="17"/>
        <v>0.19087237479806138</v>
      </c>
      <c r="I137" s="3">
        <f t="shared" ca="1" si="18"/>
        <v>63.912213323353299</v>
      </c>
      <c r="J137" s="3">
        <f t="shared" ca="1" si="19"/>
        <v>5.5699097847358114</v>
      </c>
      <c r="K137" s="3">
        <f t="shared" ca="1" si="20"/>
        <v>18.067439060516293</v>
      </c>
    </row>
    <row r="138" spans="3:11" x14ac:dyDescent="0.35">
      <c r="C138" t="str">
        <f t="shared" ca="1" si="14"/>
        <v>3Q2020</v>
      </c>
      <c r="D138" vm="272">
        <f ca="1"/>
        <v>44140</v>
      </c>
      <c r="E138" vm="273">
        <f ca="1"/>
        <v>14.16</v>
      </c>
      <c r="F138" s="3">
        <f t="shared" ca="1" si="15"/>
        <v>5.3957996768982226E-2</v>
      </c>
      <c r="G138" s="3">
        <f t="shared" ca="1" si="16"/>
        <v>0.61914378029079165</v>
      </c>
      <c r="H138" s="3">
        <f t="shared" ca="1" si="17"/>
        <v>0.19087237479806138</v>
      </c>
      <c r="I138" s="3">
        <f t="shared" ca="1" si="18"/>
        <v>65.606586826347311</v>
      </c>
      <c r="J138" s="3">
        <f t="shared" ca="1" si="19"/>
        <v>5.7175733855185911</v>
      </c>
      <c r="K138" s="3">
        <f t="shared" ca="1" si="20"/>
        <v>18.546424037240797</v>
      </c>
    </row>
    <row r="139" spans="3:11" x14ac:dyDescent="0.35">
      <c r="C139" t="str">
        <f t="shared" ca="1" si="14"/>
        <v>3Q2020</v>
      </c>
      <c r="D139" vm="274">
        <f ca="1"/>
        <v>44141</v>
      </c>
      <c r="E139" vm="275">
        <f ca="1"/>
        <v>14.561999999999999</v>
      </c>
      <c r="F139" s="3">
        <f t="shared" ca="1" si="15"/>
        <v>5.3957996768982226E-2</v>
      </c>
      <c r="G139" s="3">
        <f t="shared" ca="1" si="16"/>
        <v>0.61914378029079165</v>
      </c>
      <c r="H139" s="3">
        <f t="shared" ca="1" si="17"/>
        <v>0.19087237479806138</v>
      </c>
      <c r="I139" s="3">
        <f t="shared" ca="1" si="18"/>
        <v>67.469146706586827</v>
      </c>
      <c r="J139" s="3">
        <f t="shared" ca="1" si="19"/>
        <v>5.879894324853228</v>
      </c>
      <c r="K139" s="3">
        <f t="shared" ca="1" si="20"/>
        <v>19.072953872196361</v>
      </c>
    </row>
    <row r="140" spans="3:11" x14ac:dyDescent="0.35">
      <c r="C140" t="str">
        <f t="shared" ca="1" si="14"/>
        <v>3Q2020</v>
      </c>
      <c r="D140" vm="276">
        <f ca="1"/>
        <v>44144</v>
      </c>
      <c r="E140" vm="277">
        <f ca="1"/>
        <v>13.630800000000001</v>
      </c>
      <c r="F140" s="3">
        <f t="shared" ca="1" si="15"/>
        <v>5.3957996768982226E-2</v>
      </c>
      <c r="G140" s="3">
        <f t="shared" ca="1" si="16"/>
        <v>0.61914378029079165</v>
      </c>
      <c r="H140" s="3">
        <f t="shared" ca="1" si="17"/>
        <v>0.19087237479806138</v>
      </c>
      <c r="I140" s="3">
        <f t="shared" ca="1" si="18"/>
        <v>63.15467964071857</v>
      </c>
      <c r="J140" s="3">
        <f t="shared" ca="1" si="19"/>
        <v>5.5038911937377692</v>
      </c>
      <c r="K140" s="3">
        <f t="shared" ca="1" si="20"/>
        <v>17.85329073212019</v>
      </c>
    </row>
    <row r="141" spans="3:11" x14ac:dyDescent="0.35">
      <c r="C141" t="str">
        <f t="shared" ca="1" si="14"/>
        <v>3Q2020</v>
      </c>
      <c r="D141" vm="278">
        <f ca="1"/>
        <v>44145</v>
      </c>
      <c r="E141" vm="279">
        <f ca="1"/>
        <v>12.77</v>
      </c>
      <c r="F141" s="3">
        <f t="shared" ca="1" si="15"/>
        <v>5.3957996768982226E-2</v>
      </c>
      <c r="G141" s="3">
        <f t="shared" ca="1" si="16"/>
        <v>0.61914378029079165</v>
      </c>
      <c r="H141" s="3">
        <f t="shared" ca="1" si="17"/>
        <v>0.19087237479806138</v>
      </c>
      <c r="I141" s="3">
        <f t="shared" ca="1" si="18"/>
        <v>59.166392215568862</v>
      </c>
      <c r="J141" s="3">
        <f t="shared" ca="1" si="19"/>
        <v>5.1563144161774295</v>
      </c>
      <c r="K141" s="3">
        <f t="shared" ca="1" si="20"/>
        <v>16.72583580194668</v>
      </c>
    </row>
    <row r="142" spans="3:11" x14ac:dyDescent="0.35">
      <c r="C142" t="str">
        <f t="shared" ca="1" si="14"/>
        <v>3Q2020</v>
      </c>
      <c r="D142" vm="280">
        <f ca="1"/>
        <v>44146</v>
      </c>
      <c r="E142" vm="281">
        <f ca="1"/>
        <v>13.417999999999999</v>
      </c>
      <c r="F142" s="3">
        <f t="shared" ca="1" si="15"/>
        <v>5.3957996768982226E-2</v>
      </c>
      <c r="G142" s="3">
        <f t="shared" ca="1" si="16"/>
        <v>0.61914378029079165</v>
      </c>
      <c r="H142" s="3">
        <f t="shared" ca="1" si="17"/>
        <v>0.19087237479806138</v>
      </c>
      <c r="I142" s="3">
        <f t="shared" ca="1" si="18"/>
        <v>62.168727544910183</v>
      </c>
      <c r="J142" s="3">
        <f t="shared" ca="1" si="19"/>
        <v>5.4179660795825173</v>
      </c>
      <c r="K142" s="3">
        <f t="shared" ca="1" si="20"/>
        <v>17.574570461278036</v>
      </c>
    </row>
    <row r="143" spans="3:11" x14ac:dyDescent="0.35">
      <c r="C143" t="str">
        <f t="shared" ca="1" si="14"/>
        <v>3Q2020</v>
      </c>
      <c r="D143" vm="282">
        <f ca="1"/>
        <v>44147</v>
      </c>
      <c r="E143" vm="283">
        <f ca="1"/>
        <v>13.456799999999999</v>
      </c>
      <c r="F143" s="3">
        <f t="shared" ca="1" si="15"/>
        <v>5.3957996768982226E-2</v>
      </c>
      <c r="G143" s="3">
        <f t="shared" ca="1" si="16"/>
        <v>0.61914378029079165</v>
      </c>
      <c r="H143" s="3">
        <f t="shared" ca="1" si="17"/>
        <v>0.19087237479806138</v>
      </c>
      <c r="I143" s="3">
        <f t="shared" ca="1" si="18"/>
        <v>62.348497005988023</v>
      </c>
      <c r="J143" s="3">
        <f t="shared" ca="1" si="19"/>
        <v>5.4336328767123279</v>
      </c>
      <c r="K143" s="3">
        <f t="shared" ca="1" si="20"/>
        <v>17.625389758781211</v>
      </c>
    </row>
    <row r="144" spans="3:11" x14ac:dyDescent="0.35">
      <c r="C144" t="str">
        <f t="shared" ca="1" si="14"/>
        <v>3Q2020</v>
      </c>
      <c r="D144" vm="284">
        <f ca="1"/>
        <v>44148</v>
      </c>
      <c r="E144" vm="285">
        <f ca="1"/>
        <v>13.297000000000001</v>
      </c>
      <c r="F144" s="3">
        <f t="shared" ca="1" si="15"/>
        <v>5.3957996768982226E-2</v>
      </c>
      <c r="G144" s="3">
        <f t="shared" ca="1" si="16"/>
        <v>0.61914378029079165</v>
      </c>
      <c r="H144" s="3">
        <f t="shared" ca="1" si="17"/>
        <v>0.19087237479806138</v>
      </c>
      <c r="I144" s="3">
        <f t="shared" ca="1" si="18"/>
        <v>61.608106287425159</v>
      </c>
      <c r="J144" s="3">
        <f t="shared" ca="1" si="19"/>
        <v>5.3691082844096538</v>
      </c>
      <c r="K144" s="3">
        <f t="shared" ca="1" si="20"/>
        <v>17.416087600507829</v>
      </c>
    </row>
    <row r="145" spans="3:11" x14ac:dyDescent="0.35">
      <c r="C145" t="str">
        <f t="shared" ca="1" si="14"/>
        <v>3Q2020</v>
      </c>
      <c r="D145" vm="286">
        <f ca="1"/>
        <v>44151</v>
      </c>
      <c r="E145" vm="287">
        <f ca="1"/>
        <v>13.5153</v>
      </c>
      <c r="F145" s="3">
        <f t="shared" ca="1" si="15"/>
        <v>5.3957996768982226E-2</v>
      </c>
      <c r="G145" s="3">
        <f t="shared" ca="1" si="16"/>
        <v>0.61914378029079165</v>
      </c>
      <c r="H145" s="3">
        <f t="shared" ca="1" si="17"/>
        <v>0.19087237479806138</v>
      </c>
      <c r="I145" s="3">
        <f t="shared" ca="1" si="18"/>
        <v>62.619541167664671</v>
      </c>
      <c r="J145" s="3">
        <f t="shared" ca="1" si="19"/>
        <v>5.4572542074363986</v>
      </c>
      <c r="K145" s="3">
        <f t="shared" ca="1" si="20"/>
        <v>17.702011637748626</v>
      </c>
    </row>
    <row r="146" spans="3:11" x14ac:dyDescent="0.35">
      <c r="C146" t="str">
        <f t="shared" ca="1" si="14"/>
        <v>3Q2020</v>
      </c>
      <c r="D146" vm="288">
        <f ca="1"/>
        <v>44152</v>
      </c>
      <c r="E146" vm="289">
        <f ca="1"/>
        <v>13.4223</v>
      </c>
      <c r="F146" s="3">
        <f t="shared" ca="1" si="15"/>
        <v>5.3957996768982226E-2</v>
      </c>
      <c r="G146" s="3">
        <f t="shared" ca="1" si="16"/>
        <v>0.61914378029079165</v>
      </c>
      <c r="H146" s="3">
        <f t="shared" ca="1" si="17"/>
        <v>0.19087237479806138</v>
      </c>
      <c r="I146" s="3">
        <f t="shared" ca="1" si="18"/>
        <v>62.1886504491018</v>
      </c>
      <c r="J146" s="3">
        <f t="shared" ca="1" si="19"/>
        <v>5.4197023483365943</v>
      </c>
      <c r="K146" s="3">
        <f t="shared" ca="1" si="20"/>
        <v>17.580202496826068</v>
      </c>
    </row>
    <row r="147" spans="3:11" x14ac:dyDescent="0.35">
      <c r="C147" t="str">
        <f t="shared" ca="1" si="14"/>
        <v>3Q2020</v>
      </c>
      <c r="D147" vm="290">
        <f ca="1"/>
        <v>44153</v>
      </c>
      <c r="E147" vm="291">
        <f ca="1"/>
        <v>13.428800000000001</v>
      </c>
      <c r="F147" s="3">
        <f t="shared" ca="1" si="15"/>
        <v>5.3957996768982226E-2</v>
      </c>
      <c r="G147" s="3">
        <f t="shared" ca="1" si="16"/>
        <v>0.61914378029079165</v>
      </c>
      <c r="H147" s="3">
        <f t="shared" ca="1" si="17"/>
        <v>0.19087237479806138</v>
      </c>
      <c r="I147" s="3">
        <f t="shared" ca="1" si="18"/>
        <v>62.218766467065876</v>
      </c>
      <c r="J147" s="3">
        <f t="shared" ca="1" si="19"/>
        <v>5.4223269406392696</v>
      </c>
      <c r="K147" s="3">
        <f t="shared" ca="1" si="20"/>
        <v>17.588716038933562</v>
      </c>
    </row>
    <row r="148" spans="3:11" x14ac:dyDescent="0.35">
      <c r="C148" t="str">
        <f t="shared" ca="1" si="14"/>
        <v>3Q2020</v>
      </c>
      <c r="D148" vm="292">
        <f ca="1"/>
        <v>44154</v>
      </c>
      <c r="E148" vm="293">
        <f ca="1"/>
        <v>13.440300000000001</v>
      </c>
      <c r="F148" s="3">
        <f t="shared" ca="1" si="15"/>
        <v>5.3957996768982226E-2</v>
      </c>
      <c r="G148" s="3">
        <f t="shared" ca="1" si="16"/>
        <v>0.61914378029079165</v>
      </c>
      <c r="H148" s="3">
        <f t="shared" ca="1" si="17"/>
        <v>0.19087237479806138</v>
      </c>
      <c r="I148" s="3">
        <f t="shared" ca="1" si="18"/>
        <v>62.272048652694615</v>
      </c>
      <c r="J148" s="3">
        <f t="shared" ca="1" si="19"/>
        <v>5.4269704500978468</v>
      </c>
      <c r="K148" s="3">
        <f t="shared" ca="1" si="20"/>
        <v>17.603778459585275</v>
      </c>
    </row>
    <row r="149" spans="3:11" x14ac:dyDescent="0.35">
      <c r="C149" t="str">
        <f t="shared" ca="1" si="14"/>
        <v>3Q2020</v>
      </c>
      <c r="D149" vm="294">
        <f ca="1"/>
        <v>44155</v>
      </c>
      <c r="E149" vm="295">
        <f ca="1"/>
        <v>13.0878</v>
      </c>
      <c r="F149" s="3">
        <f t="shared" ca="1" si="15"/>
        <v>5.3957996768982226E-2</v>
      </c>
      <c r="G149" s="3">
        <f t="shared" ca="1" si="16"/>
        <v>0.61914378029079165</v>
      </c>
      <c r="H149" s="3">
        <f t="shared" ca="1" si="17"/>
        <v>0.19087237479806138</v>
      </c>
      <c r="I149" s="3">
        <f t="shared" ca="1" si="18"/>
        <v>60.63883383233533</v>
      </c>
      <c r="J149" s="3">
        <f t="shared" ca="1" si="19"/>
        <v>5.2846367906066529</v>
      </c>
      <c r="K149" s="3">
        <f t="shared" ca="1" si="20"/>
        <v>17.142082522217521</v>
      </c>
    </row>
    <row r="150" spans="3:11" x14ac:dyDescent="0.35">
      <c r="C150" t="str">
        <f t="shared" ca="1" si="14"/>
        <v>3Q2020</v>
      </c>
      <c r="D150" vm="296">
        <f ca="1"/>
        <v>44158</v>
      </c>
      <c r="E150" vm="297">
        <f ca="1"/>
        <v>13.14</v>
      </c>
      <c r="F150" s="3">
        <f t="shared" ca="1" si="15"/>
        <v>5.3957996768982226E-2</v>
      </c>
      <c r="G150" s="3">
        <f t="shared" ca="1" si="16"/>
        <v>0.61914378029079165</v>
      </c>
      <c r="H150" s="3">
        <f t="shared" ca="1" si="17"/>
        <v>0.19087237479806138</v>
      </c>
      <c r="I150" s="3">
        <f t="shared" ca="1" si="18"/>
        <v>60.880688622754498</v>
      </c>
      <c r="J150" s="3">
        <f t="shared" ca="1" si="19"/>
        <v>5.3057142857142852</v>
      </c>
      <c r="K150" s="3">
        <f t="shared" ca="1" si="20"/>
        <v>17.210452814219213</v>
      </c>
    </row>
    <row r="151" spans="3:11" x14ac:dyDescent="0.35">
      <c r="C151" t="str">
        <f t="shared" ca="1" si="14"/>
        <v>3Q2020</v>
      </c>
      <c r="D151" vm="298">
        <f ca="1"/>
        <v>44159</v>
      </c>
      <c r="E151" vm="299">
        <f ca="1"/>
        <v>12.957700000000001</v>
      </c>
      <c r="F151" s="3">
        <f t="shared" ca="1" si="15"/>
        <v>5.3957996768982226E-2</v>
      </c>
      <c r="G151" s="3">
        <f t="shared" ca="1" si="16"/>
        <v>0.61914378029079165</v>
      </c>
      <c r="H151" s="3">
        <f t="shared" ca="1" si="17"/>
        <v>0.19087237479806138</v>
      </c>
      <c r="I151" s="3">
        <f t="shared" ca="1" si="18"/>
        <v>60.036050149700607</v>
      </c>
      <c r="J151" s="3">
        <f t="shared" ca="1" si="19"/>
        <v>5.2321045662100456</v>
      </c>
      <c r="K151" s="3">
        <f t="shared" ca="1" si="20"/>
        <v>16.97168070249683</v>
      </c>
    </row>
    <row r="152" spans="3:11" x14ac:dyDescent="0.35">
      <c r="C152" t="str">
        <f t="shared" ca="1" si="14"/>
        <v>3Q2020</v>
      </c>
      <c r="D152" vm="300">
        <f ca="1"/>
        <v>44160</v>
      </c>
      <c r="E152" vm="301">
        <f ca="1"/>
        <v>13.2348</v>
      </c>
      <c r="F152" s="3">
        <f t="shared" ca="1" si="15"/>
        <v>5.3957996768982226E-2</v>
      </c>
      <c r="G152" s="3">
        <f t="shared" ca="1" si="16"/>
        <v>0.61914378029079165</v>
      </c>
      <c r="H152" s="3">
        <f t="shared" ca="1" si="17"/>
        <v>0.19087237479806138</v>
      </c>
      <c r="I152" s="3">
        <f t="shared" ca="1" si="18"/>
        <v>61.319919161676651</v>
      </c>
      <c r="J152" s="3">
        <f t="shared" ca="1" si="19"/>
        <v>5.343992954990215</v>
      </c>
      <c r="K152" s="3">
        <f t="shared" ca="1" si="20"/>
        <v>17.334619551417692</v>
      </c>
    </row>
    <row r="153" spans="3:11" x14ac:dyDescent="0.35">
      <c r="C153" t="str">
        <f t="shared" ca="1" si="14"/>
        <v>3Q2020</v>
      </c>
      <c r="D153" vm="302">
        <f ca="1"/>
        <v>44162</v>
      </c>
      <c r="E153" vm="303">
        <f ca="1"/>
        <v>13.2613</v>
      </c>
      <c r="F153" s="3">
        <f t="shared" ca="1" si="15"/>
        <v>5.3957996768982226E-2</v>
      </c>
      <c r="G153" s="3">
        <f t="shared" ca="1" si="16"/>
        <v>0.61914378029079165</v>
      </c>
      <c r="H153" s="3">
        <f t="shared" ca="1" si="17"/>
        <v>0.19087237479806138</v>
      </c>
      <c r="I153" s="3">
        <f t="shared" ca="1" si="18"/>
        <v>61.442699850299405</v>
      </c>
      <c r="J153" s="3">
        <f t="shared" ca="1" si="19"/>
        <v>5.3546932159165035</v>
      </c>
      <c r="K153" s="3">
        <f t="shared" ca="1" si="20"/>
        <v>17.369328607702077</v>
      </c>
    </row>
    <row r="154" spans="3:11" x14ac:dyDescent="0.35">
      <c r="C154" t="str">
        <f t="shared" ca="1" si="14"/>
        <v>3Q2020</v>
      </c>
      <c r="D154" vm="304">
        <f ca="1"/>
        <v>44165</v>
      </c>
      <c r="E154" vm="305">
        <f ca="1"/>
        <v>13.4015</v>
      </c>
      <c r="F154" s="3">
        <f t="shared" ca="1" si="15"/>
        <v>5.3957996768982226E-2</v>
      </c>
      <c r="G154" s="3">
        <f t="shared" ca="1" si="16"/>
        <v>0.61914378029079165</v>
      </c>
      <c r="H154" s="3">
        <f t="shared" ca="1" si="17"/>
        <v>0.19087237479806138</v>
      </c>
      <c r="I154" s="3">
        <f t="shared" ca="1" si="18"/>
        <v>62.092279191616775</v>
      </c>
      <c r="J154" s="3">
        <f t="shared" ca="1" si="19"/>
        <v>5.4113036529680363</v>
      </c>
      <c r="K154" s="3">
        <f t="shared" ca="1" si="20"/>
        <v>17.5529591620821</v>
      </c>
    </row>
    <row r="155" spans="3:11" x14ac:dyDescent="0.35">
      <c r="C155" t="str">
        <f t="shared" ca="1" si="14"/>
        <v>3Q2020</v>
      </c>
      <c r="D155" vm="306">
        <f ca="1"/>
        <v>44166</v>
      </c>
      <c r="E155" vm="307">
        <f ca="1"/>
        <v>13.39</v>
      </c>
      <c r="F155" s="3">
        <f t="shared" ca="1" si="15"/>
        <v>5.3957996768982226E-2</v>
      </c>
      <c r="G155" s="3">
        <f t="shared" ca="1" si="16"/>
        <v>0.61914378029079165</v>
      </c>
      <c r="H155" s="3">
        <f t="shared" ca="1" si="17"/>
        <v>0.19087237479806138</v>
      </c>
      <c r="I155" s="3">
        <f t="shared" ca="1" si="18"/>
        <v>62.03899700598803</v>
      </c>
      <c r="J155" s="3">
        <f t="shared" ca="1" si="19"/>
        <v>5.4066601435094581</v>
      </c>
      <c r="K155" s="3">
        <f t="shared" ca="1" si="20"/>
        <v>17.537896741430387</v>
      </c>
    </row>
    <row r="156" spans="3:11" x14ac:dyDescent="0.35">
      <c r="C156" t="str">
        <f t="shared" ca="1" si="14"/>
        <v>3Q2020</v>
      </c>
      <c r="D156" vm="308">
        <f ca="1"/>
        <v>44167</v>
      </c>
      <c r="E156" vm="309">
        <f ca="1"/>
        <v>13.544499999999999</v>
      </c>
      <c r="F156" s="3">
        <f t="shared" ca="1" si="15"/>
        <v>5.3957996768982226E-2</v>
      </c>
      <c r="G156" s="3">
        <f t="shared" ca="1" si="16"/>
        <v>0.61914378029079165</v>
      </c>
      <c r="H156" s="3">
        <f t="shared" ca="1" si="17"/>
        <v>0.19087237479806138</v>
      </c>
      <c r="I156" s="3">
        <f t="shared" ca="1" si="18"/>
        <v>62.754831586826349</v>
      </c>
      <c r="J156" s="3">
        <f t="shared" ca="1" si="19"/>
        <v>5.4690446836268745</v>
      </c>
      <c r="K156" s="3">
        <f t="shared" ca="1" si="20"/>
        <v>17.740257088446889</v>
      </c>
    </row>
    <row r="157" spans="3:11" x14ac:dyDescent="0.35">
      <c r="C157" t="str">
        <f t="shared" ca="1" si="14"/>
        <v>3Q2020</v>
      </c>
      <c r="D157" vm="310">
        <f ca="1"/>
        <v>44168</v>
      </c>
      <c r="E157" vm="311">
        <f ca="1"/>
        <v>13.396000000000001</v>
      </c>
      <c r="F157" s="3">
        <f t="shared" ca="1" si="15"/>
        <v>5.3957996768982226E-2</v>
      </c>
      <c r="G157" s="3">
        <f t="shared" ca="1" si="16"/>
        <v>0.61914378029079165</v>
      </c>
      <c r="H157" s="3">
        <f t="shared" ca="1" si="17"/>
        <v>0.19087237479806138</v>
      </c>
      <c r="I157" s="3">
        <f t="shared" ca="1" si="18"/>
        <v>62.066796407185635</v>
      </c>
      <c r="J157" s="3">
        <f t="shared" ca="1" si="19"/>
        <v>5.4090828440965426</v>
      </c>
      <c r="K157" s="3">
        <f t="shared" ca="1" si="20"/>
        <v>17.545755395683454</v>
      </c>
    </row>
    <row r="158" spans="3:11" x14ac:dyDescent="0.35">
      <c r="C158" t="str">
        <f t="shared" ca="1" si="14"/>
        <v>3Q2020</v>
      </c>
      <c r="D158" vm="312">
        <f ca="1"/>
        <v>44169</v>
      </c>
      <c r="E158" vm="313">
        <f ca="1"/>
        <v>13.558299999999999</v>
      </c>
      <c r="F158" s="3">
        <f t="shared" ca="1" si="15"/>
        <v>5.3957996768982226E-2</v>
      </c>
      <c r="G158" s="3">
        <f t="shared" ca="1" si="16"/>
        <v>0.61914378029079165</v>
      </c>
      <c r="H158" s="3">
        <f t="shared" ca="1" si="17"/>
        <v>0.19087237479806138</v>
      </c>
      <c r="I158" s="3">
        <f t="shared" ca="1" si="18"/>
        <v>62.81877020958084</v>
      </c>
      <c r="J158" s="3">
        <f t="shared" ca="1" si="19"/>
        <v>5.4746168949771681</v>
      </c>
      <c r="K158" s="3">
        <f t="shared" ca="1" si="20"/>
        <v>17.758331993228946</v>
      </c>
    </row>
    <row r="159" spans="3:11" x14ac:dyDescent="0.35">
      <c r="C159" t="str">
        <f t="shared" ca="1" si="14"/>
        <v>3Q2020</v>
      </c>
      <c r="D159" vm="314">
        <f ca="1"/>
        <v>44172</v>
      </c>
      <c r="E159" vm="315">
        <f ca="1"/>
        <v>13.6068</v>
      </c>
      <c r="F159" s="3">
        <f t="shared" ca="1" si="15"/>
        <v>5.3957996768982226E-2</v>
      </c>
      <c r="G159" s="3">
        <f t="shared" ca="1" si="16"/>
        <v>0.61914378029079165</v>
      </c>
      <c r="H159" s="3">
        <f t="shared" ca="1" si="17"/>
        <v>0.19087237479806138</v>
      </c>
      <c r="I159" s="3">
        <f t="shared" ca="1" si="18"/>
        <v>63.043482035928143</v>
      </c>
      <c r="J159" s="3">
        <f t="shared" ca="1" si="19"/>
        <v>5.4942003913894322</v>
      </c>
      <c r="K159" s="3">
        <f t="shared" ca="1" si="20"/>
        <v>17.821856115107913</v>
      </c>
    </row>
    <row r="160" spans="3:11" x14ac:dyDescent="0.35">
      <c r="C160" t="str">
        <f t="shared" ca="1" si="14"/>
        <v>3Q2020</v>
      </c>
      <c r="D160" vm="316">
        <f ca="1"/>
        <v>44173</v>
      </c>
      <c r="E160" vm="317">
        <f ca="1"/>
        <v>13.35</v>
      </c>
      <c r="F160" s="3">
        <f t="shared" ca="1" si="15"/>
        <v>5.3957996768982226E-2</v>
      </c>
      <c r="G160" s="3">
        <f t="shared" ca="1" si="16"/>
        <v>0.61914378029079165</v>
      </c>
      <c r="H160" s="3">
        <f t="shared" ca="1" si="17"/>
        <v>0.19087237479806138</v>
      </c>
      <c r="I160" s="3">
        <f t="shared" ca="1" si="18"/>
        <v>61.85366766467066</v>
      </c>
      <c r="J160" s="3">
        <f t="shared" ca="1" si="19"/>
        <v>5.3905088062622299</v>
      </c>
      <c r="K160" s="3">
        <f t="shared" ca="1" si="20"/>
        <v>17.485505713076599</v>
      </c>
    </row>
    <row r="161" spans="3:11" x14ac:dyDescent="0.35">
      <c r="C161" t="str">
        <f t="shared" ca="1" si="14"/>
        <v>3Q2020</v>
      </c>
      <c r="D161" vm="318">
        <f ca="1"/>
        <v>44174</v>
      </c>
      <c r="E161" vm="319">
        <f ca="1"/>
        <v>12.9308</v>
      </c>
      <c r="F161" s="3">
        <f t="shared" ca="1" si="15"/>
        <v>5.3957996768982226E-2</v>
      </c>
      <c r="G161" s="3">
        <f t="shared" ca="1" si="16"/>
        <v>0.61914378029079165</v>
      </c>
      <c r="H161" s="3">
        <f t="shared" ca="1" si="17"/>
        <v>0.19087237479806138</v>
      </c>
      <c r="I161" s="3">
        <f t="shared" ca="1" si="18"/>
        <v>59.911416167664676</v>
      </c>
      <c r="J161" s="3">
        <f t="shared" ca="1" si="19"/>
        <v>5.2212427919112843</v>
      </c>
      <c r="K161" s="3">
        <f t="shared" ca="1" si="20"/>
        <v>16.936447735928905</v>
      </c>
    </row>
    <row r="162" spans="3:11" x14ac:dyDescent="0.35">
      <c r="C162" t="str">
        <f t="shared" ca="1" si="14"/>
        <v>3Q2020</v>
      </c>
      <c r="D162" vm="320">
        <f ca="1"/>
        <v>44175</v>
      </c>
      <c r="E162" vm="321">
        <f ca="1"/>
        <v>12.972300000000001</v>
      </c>
      <c r="F162" s="3">
        <f t="shared" ca="1" si="15"/>
        <v>5.3957996768982226E-2</v>
      </c>
      <c r="G162" s="3">
        <f t="shared" ca="1" si="16"/>
        <v>0.61914378029079165</v>
      </c>
      <c r="H162" s="3">
        <f t="shared" ca="1" si="17"/>
        <v>0.19087237479806138</v>
      </c>
      <c r="I162" s="3">
        <f t="shared" ca="1" si="18"/>
        <v>60.103695359281446</v>
      </c>
      <c r="J162" s="3">
        <f t="shared" ca="1" si="19"/>
        <v>5.237999804305284</v>
      </c>
      <c r="K162" s="3">
        <f t="shared" ca="1" si="20"/>
        <v>16.990803427845961</v>
      </c>
    </row>
    <row r="163" spans="3:11" x14ac:dyDescent="0.35">
      <c r="C163" t="str">
        <f t="shared" ca="1" si="14"/>
        <v>3Q2020</v>
      </c>
      <c r="D163" vm="322">
        <f ca="1"/>
        <v>44176</v>
      </c>
      <c r="E163" vm="323">
        <f ca="1"/>
        <v>13.013299999999999</v>
      </c>
      <c r="F163" s="3">
        <f t="shared" ca="1" si="15"/>
        <v>5.3957996768982226E-2</v>
      </c>
      <c r="G163" s="3">
        <f t="shared" ca="1" si="16"/>
        <v>0.61914378029079165</v>
      </c>
      <c r="H163" s="3">
        <f t="shared" ca="1" si="17"/>
        <v>0.19087237479806138</v>
      </c>
      <c r="I163" s="3">
        <f t="shared" ca="1" si="18"/>
        <v>60.293657934131737</v>
      </c>
      <c r="J163" s="3">
        <f t="shared" ca="1" si="19"/>
        <v>5.2545549249836911</v>
      </c>
      <c r="K163" s="3">
        <f t="shared" ca="1" si="20"/>
        <v>17.04450423190859</v>
      </c>
    </row>
    <row r="164" spans="3:11" x14ac:dyDescent="0.35">
      <c r="C164" t="str">
        <f t="shared" ca="1" si="14"/>
        <v>3Q2020</v>
      </c>
      <c r="D164" vm="324">
        <f ca="1"/>
        <v>44179</v>
      </c>
      <c r="E164" vm="325">
        <f ca="1"/>
        <v>13.3088</v>
      </c>
      <c r="F164" s="3">
        <f t="shared" ca="1" si="15"/>
        <v>5.3957996768982226E-2</v>
      </c>
      <c r="G164" s="3">
        <f t="shared" ca="1" si="16"/>
        <v>0.61914378029079165</v>
      </c>
      <c r="H164" s="3">
        <f t="shared" ca="1" si="17"/>
        <v>0.19087237479806138</v>
      </c>
      <c r="I164" s="3">
        <f t="shared" ca="1" si="18"/>
        <v>61.662778443113773</v>
      </c>
      <c r="J164" s="3">
        <f t="shared" ca="1" si="19"/>
        <v>5.3738729288975859</v>
      </c>
      <c r="K164" s="3">
        <f t="shared" ca="1" si="20"/>
        <v>17.431542953872196</v>
      </c>
    </row>
    <row r="165" spans="3:11" x14ac:dyDescent="0.35">
      <c r="C165" t="str">
        <f t="shared" ca="1" si="14"/>
        <v>3Q2020</v>
      </c>
      <c r="D165" vm="326">
        <f ca="1"/>
        <v>44180</v>
      </c>
      <c r="E165" vm="327">
        <f ca="1"/>
        <v>13.3605</v>
      </c>
      <c r="F165" s="3">
        <f t="shared" ca="1" si="15"/>
        <v>5.3957996768982226E-2</v>
      </c>
      <c r="G165" s="3">
        <f t="shared" ca="1" si="16"/>
        <v>0.61914378029079165</v>
      </c>
      <c r="H165" s="3">
        <f t="shared" ca="1" si="17"/>
        <v>0.19087237479806138</v>
      </c>
      <c r="I165" s="3">
        <f t="shared" ca="1" si="18"/>
        <v>61.90231661676647</v>
      </c>
      <c r="J165" s="3">
        <f t="shared" ca="1" si="19"/>
        <v>5.3947485322896274</v>
      </c>
      <c r="K165" s="3">
        <f t="shared" ca="1" si="20"/>
        <v>17.499258358019468</v>
      </c>
    </row>
    <row r="166" spans="3:11" x14ac:dyDescent="0.35">
      <c r="C166" t="str">
        <f t="shared" ca="1" si="14"/>
        <v>3Q2020</v>
      </c>
      <c r="D166" vm="328">
        <f ca="1"/>
        <v>44181</v>
      </c>
      <c r="E166" vm="329">
        <f ca="1"/>
        <v>13.2425</v>
      </c>
      <c r="F166" s="3">
        <f t="shared" ca="1" si="15"/>
        <v>5.3957996768982226E-2</v>
      </c>
      <c r="G166" s="3">
        <f t="shared" ca="1" si="16"/>
        <v>0.61914378029079165</v>
      </c>
      <c r="H166" s="3">
        <f t="shared" ca="1" si="17"/>
        <v>0.19087237479806138</v>
      </c>
      <c r="I166" s="3">
        <f t="shared" ca="1" si="18"/>
        <v>61.355595059880244</v>
      </c>
      <c r="J166" s="3">
        <f t="shared" ca="1" si="19"/>
        <v>5.3471020874103061</v>
      </c>
      <c r="K166" s="3">
        <f t="shared" ca="1" si="20"/>
        <v>17.344704824375793</v>
      </c>
    </row>
    <row r="167" spans="3:11" x14ac:dyDescent="0.35">
      <c r="C167" t="str">
        <f t="shared" ca="1" si="14"/>
        <v>3Q2020</v>
      </c>
      <c r="D167" vm="330">
        <f ca="1"/>
        <v>44182</v>
      </c>
      <c r="E167" vm="331">
        <f ca="1"/>
        <v>13.3413</v>
      </c>
      <c r="F167" s="3">
        <f t="shared" ca="1" si="15"/>
        <v>5.3957996768982226E-2</v>
      </c>
      <c r="G167" s="3">
        <f t="shared" ca="1" si="16"/>
        <v>0.61914378029079165</v>
      </c>
      <c r="H167" s="3">
        <f t="shared" ca="1" si="17"/>
        <v>0.19087237479806138</v>
      </c>
      <c r="I167" s="3">
        <f t="shared" ca="1" si="18"/>
        <v>61.813358532934139</v>
      </c>
      <c r="J167" s="3">
        <f t="shared" ca="1" si="19"/>
        <v>5.3869958904109589</v>
      </c>
      <c r="K167" s="3">
        <f t="shared" ca="1" si="20"/>
        <v>17.47411066440965</v>
      </c>
    </row>
    <row r="168" spans="3:11" x14ac:dyDescent="0.35">
      <c r="C168" t="str">
        <f t="shared" ca="1" si="14"/>
        <v>3Q2020</v>
      </c>
      <c r="D168" vm="332">
        <f ca="1"/>
        <v>44183</v>
      </c>
      <c r="E168" vm="333">
        <f ca="1"/>
        <v>13.272</v>
      </c>
      <c r="F168" s="3">
        <f t="shared" ca="1" si="15"/>
        <v>5.3957996768982226E-2</v>
      </c>
      <c r="G168" s="3">
        <f t="shared" ca="1" si="16"/>
        <v>0.61914378029079165</v>
      </c>
      <c r="H168" s="3">
        <f t="shared" ca="1" si="17"/>
        <v>0.19087237479806138</v>
      </c>
      <c r="I168" s="3">
        <f t="shared" ca="1" si="18"/>
        <v>61.492275449101804</v>
      </c>
      <c r="J168" s="3">
        <f t="shared" ca="1" si="19"/>
        <v>5.3590136986301369</v>
      </c>
      <c r="K168" s="3">
        <f t="shared" ca="1" si="20"/>
        <v>17.383343207786712</v>
      </c>
    </row>
    <row r="169" spans="3:11" x14ac:dyDescent="0.35">
      <c r="C169" t="str">
        <f t="shared" ca="1" si="14"/>
        <v>3Q2020</v>
      </c>
      <c r="D169" vm="334">
        <f ca="1"/>
        <v>44186</v>
      </c>
      <c r="E169" vm="335">
        <f ca="1"/>
        <v>13.3323</v>
      </c>
      <c r="F169" s="3">
        <f t="shared" ca="1" si="15"/>
        <v>5.3957996768982226E-2</v>
      </c>
      <c r="G169" s="3">
        <f t="shared" ca="1" si="16"/>
        <v>0.61914378029079165</v>
      </c>
      <c r="H169" s="3">
        <f t="shared" ca="1" si="17"/>
        <v>0.19087237479806138</v>
      </c>
      <c r="I169" s="3">
        <f t="shared" ca="1" si="18"/>
        <v>61.771659431137728</v>
      </c>
      <c r="J169" s="3">
        <f t="shared" ca="1" si="19"/>
        <v>5.3833618395303322</v>
      </c>
      <c r="K169" s="3">
        <f t="shared" ca="1" si="20"/>
        <v>17.462322683030049</v>
      </c>
    </row>
    <row r="170" spans="3:11" x14ac:dyDescent="0.35">
      <c r="C170" t="str">
        <f t="shared" ca="1" si="14"/>
        <v>3Q2020</v>
      </c>
      <c r="D170" vm="336">
        <f ca="1"/>
        <v>44187</v>
      </c>
      <c r="E170" vm="337">
        <f ca="1"/>
        <v>13.2783</v>
      </c>
      <c r="F170" s="3">
        <f t="shared" ca="1" si="15"/>
        <v>5.3957996768982226E-2</v>
      </c>
      <c r="G170" s="3">
        <f t="shared" ca="1" si="16"/>
        <v>0.61914378029079165</v>
      </c>
      <c r="H170" s="3">
        <f t="shared" ca="1" si="17"/>
        <v>0.19087237479806138</v>
      </c>
      <c r="I170" s="3">
        <f t="shared" ca="1" si="18"/>
        <v>61.521464820359284</v>
      </c>
      <c r="J170" s="3">
        <f t="shared" ca="1" si="19"/>
        <v>5.3615575342465744</v>
      </c>
      <c r="K170" s="3">
        <f t="shared" ca="1" si="20"/>
        <v>17.391594794752432</v>
      </c>
    </row>
    <row r="171" spans="3:11" x14ac:dyDescent="0.35">
      <c r="C171" t="str">
        <f t="shared" ca="1" si="14"/>
        <v>3Q2020</v>
      </c>
      <c r="D171" vm="338">
        <f ca="1"/>
        <v>44188</v>
      </c>
      <c r="E171" vm="339">
        <f ca="1"/>
        <v>13.0093</v>
      </c>
      <c r="F171" s="3">
        <f t="shared" ca="1" si="15"/>
        <v>5.3957996768982226E-2</v>
      </c>
      <c r="G171" s="3">
        <f t="shared" ca="1" si="16"/>
        <v>0.61914378029079165</v>
      </c>
      <c r="H171" s="3">
        <f t="shared" ca="1" si="17"/>
        <v>0.19087237479806138</v>
      </c>
      <c r="I171" s="3">
        <f t="shared" ca="1" si="18"/>
        <v>60.275125000000003</v>
      </c>
      <c r="J171" s="3">
        <f t="shared" ca="1" si="19"/>
        <v>5.252939791258969</v>
      </c>
      <c r="K171" s="3">
        <f t="shared" ca="1" si="20"/>
        <v>17.039265129073211</v>
      </c>
    </row>
    <row r="172" spans="3:11" x14ac:dyDescent="0.35">
      <c r="C172" t="str">
        <f t="shared" ca="1" si="14"/>
        <v>3Q2020</v>
      </c>
      <c r="D172" vm="340">
        <f ca="1"/>
        <v>44189</v>
      </c>
      <c r="E172" vm="341">
        <f ca="1"/>
        <v>12.9938</v>
      </c>
      <c r="F172" s="3">
        <f t="shared" ca="1" si="15"/>
        <v>5.3957996768982226E-2</v>
      </c>
      <c r="G172" s="3">
        <f t="shared" ca="1" si="16"/>
        <v>0.61914378029079165</v>
      </c>
      <c r="H172" s="3">
        <f t="shared" ca="1" si="17"/>
        <v>0.19087237479806138</v>
      </c>
      <c r="I172" s="3">
        <f t="shared" ca="1" si="18"/>
        <v>60.203309880239523</v>
      </c>
      <c r="J172" s="3">
        <f t="shared" ca="1" si="19"/>
        <v>5.2466811480756688</v>
      </c>
      <c r="K172" s="3">
        <f t="shared" ca="1" si="20"/>
        <v>17.018963605586119</v>
      </c>
    </row>
    <row r="173" spans="3:11" x14ac:dyDescent="0.35">
      <c r="C173" t="str">
        <f t="shared" ca="1" si="14"/>
        <v>3Q2020</v>
      </c>
      <c r="D173" vm="342">
        <f ca="1"/>
        <v>44193</v>
      </c>
      <c r="E173" vm="343">
        <f ca="1"/>
        <v>12.9</v>
      </c>
      <c r="F173" s="3">
        <f t="shared" ca="1" si="15"/>
        <v>5.3957996768982226E-2</v>
      </c>
      <c r="G173" s="3">
        <f t="shared" ca="1" si="16"/>
        <v>0.61914378029079165</v>
      </c>
      <c r="H173" s="3">
        <f t="shared" ca="1" si="17"/>
        <v>0.19087237479806138</v>
      </c>
      <c r="I173" s="3">
        <f t="shared" ca="1" si="18"/>
        <v>59.768712574850305</v>
      </c>
      <c r="J173" s="3">
        <f t="shared" ca="1" si="19"/>
        <v>5.2088062622309197</v>
      </c>
      <c r="K173" s="3">
        <f t="shared" ca="1" si="20"/>
        <v>16.896106644096488</v>
      </c>
    </row>
    <row r="174" spans="3:11" x14ac:dyDescent="0.35">
      <c r="C174" t="str">
        <f t="shared" ca="1" si="14"/>
        <v>3Q2020</v>
      </c>
      <c r="D174" vm="344">
        <f ca="1"/>
        <v>44194</v>
      </c>
      <c r="E174" vm="345">
        <f ca="1"/>
        <v>12.943300000000001</v>
      </c>
      <c r="F174" s="3">
        <f t="shared" ca="1" si="15"/>
        <v>5.3957996768982226E-2</v>
      </c>
      <c r="G174" s="3">
        <f t="shared" ca="1" si="16"/>
        <v>0.61914378029079165</v>
      </c>
      <c r="H174" s="3">
        <f t="shared" ca="1" si="17"/>
        <v>0.19087237479806138</v>
      </c>
      <c r="I174" s="3">
        <f t="shared" ca="1" si="18"/>
        <v>59.969331586826357</v>
      </c>
      <c r="J174" s="3">
        <f t="shared" ca="1" si="19"/>
        <v>5.2262900848010432</v>
      </c>
      <c r="K174" s="3">
        <f t="shared" ca="1" si="20"/>
        <v>16.952819932289465</v>
      </c>
    </row>
    <row r="175" spans="3:11" x14ac:dyDescent="0.35">
      <c r="C175" t="str">
        <f t="shared" ca="1" si="14"/>
        <v>3Q2020</v>
      </c>
      <c r="D175" vm="346">
        <f ca="1"/>
        <v>44195</v>
      </c>
      <c r="E175" vm="347">
        <f ca="1"/>
        <v>13.145799999999999</v>
      </c>
      <c r="F175" s="3">
        <f t="shared" ca="1" si="15"/>
        <v>5.3957996768982226E-2</v>
      </c>
      <c r="G175" s="3">
        <f t="shared" ca="1" si="16"/>
        <v>0.61914378029079165</v>
      </c>
      <c r="H175" s="3">
        <f t="shared" ca="1" si="17"/>
        <v>0.19087237479806138</v>
      </c>
      <c r="I175" s="3">
        <f t="shared" ca="1" si="18"/>
        <v>60.907561377245507</v>
      </c>
      <c r="J175" s="3">
        <f t="shared" ca="1" si="19"/>
        <v>5.3080562296151328</v>
      </c>
      <c r="K175" s="3">
        <f t="shared" ca="1" si="20"/>
        <v>17.218049513330513</v>
      </c>
    </row>
    <row r="176" spans="3:11" x14ac:dyDescent="0.35">
      <c r="C176" t="str">
        <f t="shared" ca="1" si="14"/>
        <v>3Q2020</v>
      </c>
      <c r="D176" vm="348">
        <f ca="1"/>
        <v>44196</v>
      </c>
      <c r="E176" vm="349">
        <f ca="1"/>
        <v>13.055</v>
      </c>
      <c r="F176" s="3">
        <f t="shared" ca="1" si="15"/>
        <v>5.3957996768982226E-2</v>
      </c>
      <c r="G176" s="3">
        <f t="shared" ca="1" si="16"/>
        <v>0.61914378029079165</v>
      </c>
      <c r="H176" s="3">
        <f t="shared" ca="1" si="17"/>
        <v>0.19087237479806138</v>
      </c>
      <c r="I176" s="3">
        <f t="shared" ca="1" si="18"/>
        <v>60.486863772455095</v>
      </c>
      <c r="J176" s="3">
        <f t="shared" ca="1" si="19"/>
        <v>5.2713926940639269</v>
      </c>
      <c r="K176" s="3">
        <f t="shared" ca="1" si="20"/>
        <v>17.099121878967416</v>
      </c>
    </row>
    <row r="177" spans="3:11" x14ac:dyDescent="0.35">
      <c r="C177" t="str">
        <f t="shared" ca="1" si="14"/>
        <v>3Q2020</v>
      </c>
      <c r="D177" vm="350">
        <f ca="1"/>
        <v>44200</v>
      </c>
      <c r="E177" vm="351">
        <f ca="1"/>
        <v>13.1135</v>
      </c>
      <c r="F177" s="3">
        <f t="shared" ca="1" si="15"/>
        <v>5.3957996768982226E-2</v>
      </c>
      <c r="G177" s="3">
        <f t="shared" ca="1" si="16"/>
        <v>0.61914378029079165</v>
      </c>
      <c r="H177" s="3">
        <f t="shared" ca="1" si="17"/>
        <v>0.19087237479806138</v>
      </c>
      <c r="I177" s="3">
        <f t="shared" ca="1" si="18"/>
        <v>60.757907934131744</v>
      </c>
      <c r="J177" s="3">
        <f t="shared" ca="1" si="19"/>
        <v>5.2950140247879967</v>
      </c>
      <c r="K177" s="3">
        <f t="shared" ca="1" si="20"/>
        <v>17.175743757934828</v>
      </c>
    </row>
    <row r="178" spans="3:11" x14ac:dyDescent="0.35">
      <c r="C178" t="str">
        <f t="shared" ca="1" si="14"/>
        <v>3Q2020</v>
      </c>
      <c r="D178" vm="352">
        <f ca="1"/>
        <v>44201</v>
      </c>
      <c r="E178" vm="353">
        <f ca="1"/>
        <v>13.4048</v>
      </c>
      <c r="F178" s="3">
        <f t="shared" ca="1" si="15"/>
        <v>5.3957996768982226E-2</v>
      </c>
      <c r="G178" s="3">
        <f t="shared" ca="1" si="16"/>
        <v>0.61914378029079165</v>
      </c>
      <c r="H178" s="3">
        <f t="shared" ca="1" si="17"/>
        <v>0.19087237479806138</v>
      </c>
      <c r="I178" s="3">
        <f t="shared" ca="1" si="18"/>
        <v>62.10756886227545</v>
      </c>
      <c r="J178" s="3">
        <f t="shared" ca="1" si="19"/>
        <v>5.4126361382909325</v>
      </c>
      <c r="K178" s="3">
        <f t="shared" ca="1" si="20"/>
        <v>17.557281421921289</v>
      </c>
    </row>
    <row r="179" spans="3:11" x14ac:dyDescent="0.35">
      <c r="C179" t="str">
        <f t="shared" ca="1" si="14"/>
        <v>3Q2020</v>
      </c>
      <c r="D179" vm="354">
        <f ca="1"/>
        <v>44202</v>
      </c>
      <c r="E179" vm="355">
        <f ca="1"/>
        <v>12.6145</v>
      </c>
      <c r="F179" s="3">
        <f t="shared" ca="1" si="15"/>
        <v>5.3957996768982226E-2</v>
      </c>
      <c r="G179" s="3">
        <f t="shared" ca="1" si="16"/>
        <v>0.61914378029079165</v>
      </c>
      <c r="H179" s="3">
        <f t="shared" ca="1" si="17"/>
        <v>0.19087237479806138</v>
      </c>
      <c r="I179" s="3">
        <f t="shared" ca="1" si="18"/>
        <v>58.445924401197608</v>
      </c>
      <c r="J179" s="3">
        <f t="shared" ca="1" si="19"/>
        <v>5.0935260926288315</v>
      </c>
      <c r="K179" s="3">
        <f t="shared" ca="1" si="20"/>
        <v>16.522165679221331</v>
      </c>
    </row>
    <row r="180" spans="3:11" x14ac:dyDescent="0.35">
      <c r="C180" t="str">
        <f t="shared" ca="1" si="14"/>
        <v>3Q2020</v>
      </c>
      <c r="D180" vm="356">
        <f ca="1"/>
        <v>44203</v>
      </c>
      <c r="E180" vm="357">
        <f ca="1"/>
        <v>13.343999999999999</v>
      </c>
      <c r="F180" s="3">
        <f t="shared" ca="1" si="15"/>
        <v>5.3957996768982226E-2</v>
      </c>
      <c r="G180" s="3">
        <f t="shared" ca="1" si="16"/>
        <v>0.61914378029079165</v>
      </c>
      <c r="H180" s="3">
        <f t="shared" ca="1" si="17"/>
        <v>0.19087237479806138</v>
      </c>
      <c r="I180" s="3">
        <f t="shared" ca="1" si="18"/>
        <v>61.825868263473055</v>
      </c>
      <c r="J180" s="3">
        <f t="shared" ca="1" si="19"/>
        <v>5.3880861056751463</v>
      </c>
      <c r="K180" s="3">
        <f t="shared" ca="1" si="20"/>
        <v>17.477647058823528</v>
      </c>
    </row>
    <row r="181" spans="3:11" x14ac:dyDescent="0.35">
      <c r="C181" t="str">
        <f t="shared" ca="1" si="14"/>
        <v>3Q2020</v>
      </c>
      <c r="D181" vm="358">
        <f ca="1"/>
        <v>44204</v>
      </c>
      <c r="E181" vm="359">
        <f ca="1"/>
        <v>13.2768</v>
      </c>
      <c r="F181" s="3">
        <f t="shared" ca="1" si="15"/>
        <v>5.3957996768982226E-2</v>
      </c>
      <c r="G181" s="3">
        <f t="shared" ca="1" si="16"/>
        <v>0.61914378029079165</v>
      </c>
      <c r="H181" s="3">
        <f t="shared" ca="1" si="17"/>
        <v>0.19087237479806138</v>
      </c>
      <c r="I181" s="3">
        <f t="shared" ca="1" si="18"/>
        <v>61.514514970059885</v>
      </c>
      <c r="J181" s="3">
        <f t="shared" ca="1" si="19"/>
        <v>5.3609518590998038</v>
      </c>
      <c r="K181" s="3">
        <f t="shared" ca="1" si="20"/>
        <v>17.389630131189168</v>
      </c>
    </row>
    <row r="182" spans="3:11" x14ac:dyDescent="0.35">
      <c r="C182" t="str">
        <f t="shared" ca="1" si="14"/>
        <v>3Q2020</v>
      </c>
      <c r="D182" vm="360">
        <f ca="1"/>
        <v>44207</v>
      </c>
      <c r="E182" vm="361">
        <f ca="1"/>
        <v>13.621499999999999</v>
      </c>
      <c r="F182" s="3">
        <f t="shared" ca="1" si="15"/>
        <v>5.3957996768982226E-2</v>
      </c>
      <c r="G182" s="3">
        <f t="shared" ca="1" si="16"/>
        <v>0.61914378029079165</v>
      </c>
      <c r="H182" s="3">
        <f t="shared" ca="1" si="17"/>
        <v>0.19087237479806138</v>
      </c>
      <c r="I182" s="3">
        <f t="shared" ca="1" si="18"/>
        <v>63.111590568862276</v>
      </c>
      <c r="J182" s="3">
        <f t="shared" ca="1" si="19"/>
        <v>5.5001360078277877</v>
      </c>
      <c r="K182" s="3">
        <f t="shared" ca="1" si="20"/>
        <v>17.841109818027931</v>
      </c>
    </row>
    <row r="183" spans="3:11" x14ac:dyDescent="0.35">
      <c r="C183" t="str">
        <f t="shared" ca="1" si="14"/>
        <v>3Q2020</v>
      </c>
      <c r="D183" vm="362">
        <f ca="1"/>
        <v>44208</v>
      </c>
      <c r="E183" vm="363">
        <f ca="1"/>
        <v>13.4848</v>
      </c>
      <c r="F183" s="3">
        <f t="shared" ca="1" si="15"/>
        <v>5.3957996768982226E-2</v>
      </c>
      <c r="G183" s="3">
        <f t="shared" ca="1" si="16"/>
        <v>0.61914378029079165</v>
      </c>
      <c r="H183" s="3">
        <f t="shared" ca="1" si="17"/>
        <v>0.19087237479806138</v>
      </c>
      <c r="I183" s="3">
        <f t="shared" ca="1" si="18"/>
        <v>62.478227544910183</v>
      </c>
      <c r="J183" s="3">
        <f t="shared" ca="1" si="19"/>
        <v>5.4449388127853879</v>
      </c>
      <c r="K183" s="3">
        <f t="shared" ca="1" si="20"/>
        <v>17.662063478628863</v>
      </c>
    </row>
    <row r="184" spans="3:11" x14ac:dyDescent="0.35">
      <c r="C184" t="str">
        <f t="shared" ca="1" si="14"/>
        <v>3Q2020</v>
      </c>
      <c r="D184" vm="364">
        <f ca="1"/>
        <v>44209</v>
      </c>
      <c r="E184" vm="365">
        <f ca="1"/>
        <v>13.5318</v>
      </c>
      <c r="F184" s="3">
        <f t="shared" ca="1" si="15"/>
        <v>5.3957996768982226E-2</v>
      </c>
      <c r="G184" s="3">
        <f t="shared" ca="1" si="16"/>
        <v>0.61914378029079165</v>
      </c>
      <c r="H184" s="3">
        <f t="shared" ca="1" si="17"/>
        <v>0.19087237479806138</v>
      </c>
      <c r="I184" s="3">
        <f t="shared" ca="1" si="18"/>
        <v>62.695989520958086</v>
      </c>
      <c r="J184" s="3">
        <f t="shared" ca="1" si="19"/>
        <v>5.4639166340508805</v>
      </c>
      <c r="K184" s="3">
        <f t="shared" ca="1" si="20"/>
        <v>17.723622936944565</v>
      </c>
    </row>
    <row r="185" spans="3:11" x14ac:dyDescent="0.35">
      <c r="C185" t="str">
        <f t="shared" ca="1" si="14"/>
        <v>3Q2020</v>
      </c>
      <c r="D185" vm="366">
        <f ca="1"/>
        <v>44210</v>
      </c>
      <c r="E185" vm="367">
        <f ca="1"/>
        <v>13.2003</v>
      </c>
      <c r="F185" s="3">
        <f t="shared" ca="1" si="15"/>
        <v>5.3957996768982226E-2</v>
      </c>
      <c r="G185" s="3">
        <f t="shared" ca="1" si="16"/>
        <v>0.61914378029079165</v>
      </c>
      <c r="H185" s="3">
        <f t="shared" ca="1" si="17"/>
        <v>0.19087237479806138</v>
      </c>
      <c r="I185" s="3">
        <f t="shared" ca="1" si="18"/>
        <v>61.160072604790422</v>
      </c>
      <c r="J185" s="3">
        <f t="shared" ca="1" si="19"/>
        <v>5.3300624266144814</v>
      </c>
      <c r="K185" s="3">
        <f t="shared" ca="1" si="20"/>
        <v>17.28943228946255</v>
      </c>
    </row>
    <row r="186" spans="3:11" x14ac:dyDescent="0.35">
      <c r="C186" t="str">
        <f t="shared" ca="1" si="14"/>
        <v>3Q2020</v>
      </c>
      <c r="D186" vm="368">
        <f ca="1"/>
        <v>44211</v>
      </c>
      <c r="E186" vm="369">
        <f ca="1"/>
        <v>12.859500000000001</v>
      </c>
      <c r="F186" s="3">
        <f t="shared" ca="1" si="15"/>
        <v>5.3957996768982226E-2</v>
      </c>
      <c r="G186" s="3">
        <f t="shared" ca="1" si="16"/>
        <v>0.61914378029079165</v>
      </c>
      <c r="H186" s="3">
        <f t="shared" ca="1" si="17"/>
        <v>0.19087237479806138</v>
      </c>
      <c r="I186" s="3">
        <f t="shared" ca="1" si="18"/>
        <v>59.581066616766471</v>
      </c>
      <c r="J186" s="3">
        <f t="shared" ca="1" si="19"/>
        <v>5.1924530332681016</v>
      </c>
      <c r="K186" s="3">
        <f t="shared" ca="1" si="20"/>
        <v>16.843060727888279</v>
      </c>
    </row>
    <row r="187" spans="3:11" x14ac:dyDescent="0.35">
      <c r="C187" t="str">
        <f t="shared" ca="1" si="14"/>
        <v>3Q2020</v>
      </c>
      <c r="D187" vm="370">
        <f ca="1"/>
        <v>44215</v>
      </c>
      <c r="E187" vm="371">
        <f ca="1"/>
        <v>13.0253</v>
      </c>
      <c r="F187" s="3">
        <f t="shared" ca="1" si="15"/>
        <v>5.3957996768982226E-2</v>
      </c>
      <c r="G187" s="3">
        <f t="shared" ca="1" si="16"/>
        <v>0.61914378029079165</v>
      </c>
      <c r="H187" s="3">
        <f t="shared" ca="1" si="17"/>
        <v>0.19087237479806138</v>
      </c>
      <c r="I187" s="3">
        <f t="shared" ca="1" si="18"/>
        <v>60.349256736526947</v>
      </c>
      <c r="J187" s="3">
        <f t="shared" ca="1" si="19"/>
        <v>5.2594003261578601</v>
      </c>
      <c r="K187" s="3">
        <f t="shared" ca="1" si="20"/>
        <v>17.060221540414727</v>
      </c>
    </row>
    <row r="188" spans="3:11" x14ac:dyDescent="0.35">
      <c r="C188" t="str">
        <f t="shared" ca="1" si="14"/>
        <v>3Q2020</v>
      </c>
      <c r="D188" vm="372">
        <f ca="1"/>
        <v>44216</v>
      </c>
      <c r="E188" vm="373">
        <f ca="1"/>
        <v>13.3658</v>
      </c>
      <c r="F188" s="3">
        <f t="shared" ca="1" si="15"/>
        <v>5.3957996768982226E-2</v>
      </c>
      <c r="G188" s="3">
        <f t="shared" ca="1" si="16"/>
        <v>0.61914378029079165</v>
      </c>
      <c r="H188" s="3">
        <f t="shared" ca="1" si="17"/>
        <v>0.19087237479806138</v>
      </c>
      <c r="I188" s="3">
        <f t="shared" ca="1" si="18"/>
        <v>61.926872754491022</v>
      </c>
      <c r="J188" s="3">
        <f t="shared" ca="1" si="19"/>
        <v>5.3968885844748851</v>
      </c>
      <c r="K188" s="3">
        <f t="shared" ca="1" si="20"/>
        <v>17.506200169276344</v>
      </c>
    </row>
    <row r="189" spans="3:11" x14ac:dyDescent="0.35">
      <c r="C189" t="str">
        <f t="shared" ca="1" si="14"/>
        <v>3Q2020</v>
      </c>
      <c r="D189" vm="374">
        <f ca="1"/>
        <v>44217</v>
      </c>
      <c r="E189" vm="375">
        <f ca="1"/>
        <v>13.8675</v>
      </c>
      <c r="F189" s="3">
        <f t="shared" ca="1" si="15"/>
        <v>5.3957996768982226E-2</v>
      </c>
      <c r="G189" s="3">
        <f t="shared" ca="1" si="16"/>
        <v>0.61914378029079165</v>
      </c>
      <c r="H189" s="3">
        <f t="shared" ca="1" si="17"/>
        <v>0.19087237479806138</v>
      </c>
      <c r="I189" s="3">
        <f t="shared" ca="1" si="18"/>
        <v>64.251366017964074</v>
      </c>
      <c r="J189" s="3">
        <f t="shared" ca="1" si="19"/>
        <v>5.5994667318982385</v>
      </c>
      <c r="K189" s="3">
        <f t="shared" ca="1" si="20"/>
        <v>18.163314642403726</v>
      </c>
    </row>
    <row r="190" spans="3:11" x14ac:dyDescent="0.35">
      <c r="C190" t="str">
        <f t="shared" ca="1" si="14"/>
        <v>3Q2020</v>
      </c>
      <c r="D190" vm="376">
        <f ca="1"/>
        <v>44218</v>
      </c>
      <c r="E190" vm="377">
        <f ca="1"/>
        <v>13.7125</v>
      </c>
      <c r="F190" s="3">
        <f t="shared" ca="1" si="15"/>
        <v>5.3957996768982226E-2</v>
      </c>
      <c r="G190" s="3">
        <f t="shared" ca="1" si="16"/>
        <v>0.61914378029079165</v>
      </c>
      <c r="H190" s="3">
        <f t="shared" ca="1" si="17"/>
        <v>0.19087237479806138</v>
      </c>
      <c r="I190" s="3">
        <f t="shared" ca="1" si="18"/>
        <v>63.533214820359284</v>
      </c>
      <c r="J190" s="3">
        <f t="shared" ca="1" si="19"/>
        <v>5.5368803000652314</v>
      </c>
      <c r="K190" s="3">
        <f t="shared" ca="1" si="20"/>
        <v>17.960299407532798</v>
      </c>
    </row>
    <row r="191" spans="3:11" x14ac:dyDescent="0.35">
      <c r="C191" t="str">
        <f t="shared" ca="1" si="14"/>
        <v>3Q2020</v>
      </c>
      <c r="D191" vm="378">
        <f ca="1"/>
        <v>44221</v>
      </c>
      <c r="E191" vm="379">
        <f ca="1"/>
        <v>13.6533</v>
      </c>
      <c r="F191" s="3">
        <f t="shared" ca="1" si="15"/>
        <v>5.3957996768982226E-2</v>
      </c>
      <c r="G191" s="3">
        <f t="shared" ca="1" si="16"/>
        <v>0.61914378029079165</v>
      </c>
      <c r="H191" s="3">
        <f t="shared" ca="1" si="17"/>
        <v>0.19087237479806138</v>
      </c>
      <c r="I191" s="3">
        <f t="shared" ca="1" si="18"/>
        <v>63.258927395209582</v>
      </c>
      <c r="J191" s="3">
        <f t="shared" ca="1" si="19"/>
        <v>5.5129763209393339</v>
      </c>
      <c r="K191" s="3">
        <f t="shared" ca="1" si="20"/>
        <v>17.882760685569192</v>
      </c>
    </row>
    <row r="192" spans="3:11" x14ac:dyDescent="0.35">
      <c r="C192" t="str">
        <f t="shared" ca="1" si="14"/>
        <v>3Q2020</v>
      </c>
      <c r="D192" vm="380">
        <f ca="1"/>
        <v>44222</v>
      </c>
      <c r="E192" vm="381">
        <f ca="1"/>
        <v>13.4353</v>
      </c>
      <c r="F192" s="3">
        <f t="shared" ca="1" si="15"/>
        <v>5.3957996768982226E-2</v>
      </c>
      <c r="G192" s="3">
        <f t="shared" ca="1" si="16"/>
        <v>0.61914378029079165</v>
      </c>
      <c r="H192" s="3">
        <f t="shared" ca="1" si="17"/>
        <v>0.19087237479806138</v>
      </c>
      <c r="I192" s="3">
        <f t="shared" ca="1" si="18"/>
        <v>62.248882485029945</v>
      </c>
      <c r="J192" s="3">
        <f t="shared" ca="1" si="19"/>
        <v>5.4249515329419431</v>
      </c>
      <c r="K192" s="3">
        <f t="shared" ca="1" si="20"/>
        <v>17.597229581041049</v>
      </c>
    </row>
    <row r="193" spans="3:11" x14ac:dyDescent="0.35">
      <c r="C193" t="str">
        <f t="shared" ca="1" si="14"/>
        <v>3Q2020</v>
      </c>
      <c r="D193" vm="382">
        <f ca="1"/>
        <v>44223</v>
      </c>
      <c r="E193" vm="383">
        <f ca="1"/>
        <v>12.9178</v>
      </c>
      <c r="F193" s="3">
        <f t="shared" ca="1" si="15"/>
        <v>5.3957996768982226E-2</v>
      </c>
      <c r="G193" s="3">
        <f t="shared" ca="1" si="16"/>
        <v>0.61914378029079165</v>
      </c>
      <c r="H193" s="3">
        <f t="shared" ca="1" si="17"/>
        <v>0.19087237479806138</v>
      </c>
      <c r="I193" s="3">
        <f t="shared" ca="1" si="18"/>
        <v>59.851184131736531</v>
      </c>
      <c r="J193" s="3">
        <f t="shared" ca="1" si="19"/>
        <v>5.2159936073059354</v>
      </c>
      <c r="K193" s="3">
        <f t="shared" ca="1" si="20"/>
        <v>16.919420651713924</v>
      </c>
    </row>
    <row r="194" spans="3:11" x14ac:dyDescent="0.35">
      <c r="C194" t="str">
        <f t="shared" ca="1" si="14"/>
        <v>3Q2020</v>
      </c>
      <c r="D194" vm="384">
        <f ca="1"/>
        <v>44224</v>
      </c>
      <c r="E194" vm="385">
        <f ca="1"/>
        <v>13.051</v>
      </c>
      <c r="F194" s="3">
        <f t="shared" ca="1" si="15"/>
        <v>5.3957996768982226E-2</v>
      </c>
      <c r="G194" s="3">
        <f t="shared" ca="1" si="16"/>
        <v>0.61914378029079165</v>
      </c>
      <c r="H194" s="3">
        <f t="shared" ca="1" si="17"/>
        <v>0.19087237479806138</v>
      </c>
      <c r="I194" s="3">
        <f t="shared" ca="1" si="18"/>
        <v>60.468330838323361</v>
      </c>
      <c r="J194" s="3">
        <f t="shared" ca="1" si="19"/>
        <v>5.2697775603392039</v>
      </c>
      <c r="K194" s="3">
        <f t="shared" ca="1" si="20"/>
        <v>17.093882776132038</v>
      </c>
    </row>
    <row r="195" spans="3:11" x14ac:dyDescent="0.35">
      <c r="C195" t="str">
        <f t="shared" ref="C195:C258" ca="1" si="21">LOOKUP(D195,$N$2:$N$27,$M$2:$M$27)</f>
        <v>3Q2020</v>
      </c>
      <c r="D195" vm="386">
        <f ca="1"/>
        <v>44225</v>
      </c>
      <c r="E195" vm="387">
        <f ca="1"/>
        <v>12.989800000000001</v>
      </c>
      <c r="F195" s="3">
        <f t="shared" ca="1" si="15"/>
        <v>5.3957996768982226E-2</v>
      </c>
      <c r="G195" s="3">
        <f t="shared" ca="1" si="16"/>
        <v>0.61914378029079165</v>
      </c>
      <c r="H195" s="3">
        <f t="shared" ca="1" si="17"/>
        <v>0.19087237479806138</v>
      </c>
      <c r="I195" s="3">
        <f t="shared" ca="1" si="18"/>
        <v>60.184776946107789</v>
      </c>
      <c r="J195" s="3">
        <f t="shared" ca="1" si="19"/>
        <v>5.2450660143509458</v>
      </c>
      <c r="K195" s="3">
        <f t="shared" ca="1" si="20"/>
        <v>17.013724502750744</v>
      </c>
    </row>
    <row r="196" spans="3:11" x14ac:dyDescent="0.35">
      <c r="C196" t="str">
        <f t="shared" ca="1" si="21"/>
        <v>4Q2020</v>
      </c>
      <c r="D196" vm="388">
        <f ca="1"/>
        <v>44228</v>
      </c>
      <c r="E196" vm="389">
        <f ca="1"/>
        <v>13.237</v>
      </c>
      <c r="F196" s="3">
        <f t="shared" ref="F196:F259" ca="1" si="22">VLOOKUP($C196,$M$2:$R$27,4,0)/VLOOKUP($C196,$M$2:$R$27,3,0)</f>
        <v>5.8749999999999997E-2</v>
      </c>
      <c r="G196" s="3">
        <f t="shared" ref="G196:G259" ca="1" si="23">VLOOKUP($C196,$M$2:$R$27,6,0)/VLOOKUP($C196,$M$2:$R$27,3,0)</f>
        <v>0.68104838709677418</v>
      </c>
      <c r="H196" s="3">
        <f t="shared" ref="H196:H259" ca="1" si="24">VLOOKUP($C196,$M$2:$R$27,5,0)/VLOOKUP($C196,$M$2:$R$27,3,0)</f>
        <v>0.20173387096774192</v>
      </c>
      <c r="I196" s="3">
        <f t="shared" ref="I196:I259" ca="1" si="25">$E196/(F196*4)</f>
        <v>56.327659574468086</v>
      </c>
      <c r="J196" s="3">
        <f t="shared" ref="J196:J259" ca="1" si="26">$E196/(G196*4)</f>
        <v>4.8590526939017176</v>
      </c>
      <c r="K196" s="3">
        <f t="shared" ref="K196:K259" ca="1" si="27">$E196/(H196*4)</f>
        <v>16.404037577453529</v>
      </c>
    </row>
    <row r="197" spans="3:11" x14ac:dyDescent="0.35">
      <c r="C197" t="str">
        <f t="shared" ca="1" si="21"/>
        <v>4Q2020</v>
      </c>
      <c r="D197" vm="390">
        <f ca="1"/>
        <v>44229</v>
      </c>
      <c r="E197" vm="391">
        <f ca="1"/>
        <v>13.556800000000001</v>
      </c>
      <c r="F197" s="3">
        <f t="shared" ca="1" si="22"/>
        <v>5.8749999999999997E-2</v>
      </c>
      <c r="G197" s="3">
        <f t="shared" ca="1" si="23"/>
        <v>0.68104838709677418</v>
      </c>
      <c r="H197" s="3">
        <f t="shared" ca="1" si="24"/>
        <v>0.20173387096774192</v>
      </c>
      <c r="I197" s="3">
        <f t="shared" ca="1" si="25"/>
        <v>57.688510638297878</v>
      </c>
      <c r="J197" s="3">
        <f t="shared" ca="1" si="26"/>
        <v>4.9764452338661931</v>
      </c>
      <c r="K197" s="3">
        <f t="shared" ca="1" si="27"/>
        <v>16.800351788926648</v>
      </c>
    </row>
    <row r="198" spans="3:11" x14ac:dyDescent="0.35">
      <c r="C198" t="str">
        <f t="shared" ca="1" si="21"/>
        <v>4Q2020</v>
      </c>
      <c r="D198" vm="392">
        <f ca="1"/>
        <v>44230</v>
      </c>
      <c r="E198" vm="221">
        <f ca="1"/>
        <v>13.5305</v>
      </c>
      <c r="F198" s="3">
        <f t="shared" ca="1" si="22"/>
        <v>5.8749999999999997E-2</v>
      </c>
      <c r="G198" s="3">
        <f t="shared" ca="1" si="23"/>
        <v>0.68104838709677418</v>
      </c>
      <c r="H198" s="3">
        <f t="shared" ca="1" si="24"/>
        <v>0.20173387096774192</v>
      </c>
      <c r="I198" s="3">
        <f t="shared" ca="1" si="25"/>
        <v>57.576595744680851</v>
      </c>
      <c r="J198" s="3">
        <f t="shared" ca="1" si="26"/>
        <v>4.9667910005920666</v>
      </c>
      <c r="K198" s="3">
        <f t="shared" ca="1" si="27"/>
        <v>16.767759344393365</v>
      </c>
    </row>
    <row r="199" spans="3:11" x14ac:dyDescent="0.35">
      <c r="C199" t="str">
        <f t="shared" ca="1" si="21"/>
        <v>4Q2020</v>
      </c>
      <c r="D199" vm="393">
        <f ca="1"/>
        <v>44231</v>
      </c>
      <c r="E199" vm="394">
        <f ca="1"/>
        <v>13.664300000000001</v>
      </c>
      <c r="F199" s="3">
        <f t="shared" ca="1" si="22"/>
        <v>5.8749999999999997E-2</v>
      </c>
      <c r="G199" s="3">
        <f t="shared" ca="1" si="23"/>
        <v>0.68104838709677418</v>
      </c>
      <c r="H199" s="3">
        <f t="shared" ca="1" si="24"/>
        <v>0.20173387096774192</v>
      </c>
      <c r="I199" s="3">
        <f t="shared" ca="1" si="25"/>
        <v>58.145957446808517</v>
      </c>
      <c r="J199" s="3">
        <f t="shared" ca="1" si="26"/>
        <v>5.0159064535227946</v>
      </c>
      <c r="K199" s="3">
        <f t="shared" ca="1" si="27"/>
        <v>16.93357185688587</v>
      </c>
    </row>
    <row r="200" spans="3:11" x14ac:dyDescent="0.35">
      <c r="C200" t="str">
        <f t="shared" ca="1" si="21"/>
        <v>4Q2020</v>
      </c>
      <c r="D200" vm="395">
        <f ca="1"/>
        <v>44232</v>
      </c>
      <c r="E200" vm="396">
        <f ca="1"/>
        <v>13.590999999999999</v>
      </c>
      <c r="F200" s="3">
        <f t="shared" ca="1" si="22"/>
        <v>5.8749999999999997E-2</v>
      </c>
      <c r="G200" s="3">
        <f t="shared" ca="1" si="23"/>
        <v>0.68104838709677418</v>
      </c>
      <c r="H200" s="3">
        <f t="shared" ca="1" si="24"/>
        <v>0.20173387096774192</v>
      </c>
      <c r="I200" s="3">
        <f t="shared" ca="1" si="25"/>
        <v>57.834042553191487</v>
      </c>
      <c r="J200" s="3">
        <f t="shared" ca="1" si="26"/>
        <v>4.9889994079336883</v>
      </c>
      <c r="K200" s="3">
        <f t="shared" ca="1" si="27"/>
        <v>16.842734359384369</v>
      </c>
    </row>
    <row r="201" spans="3:11" x14ac:dyDescent="0.35">
      <c r="C201" t="str">
        <f t="shared" ca="1" si="21"/>
        <v>4Q2020</v>
      </c>
      <c r="D201" vm="397">
        <f ca="1"/>
        <v>44235</v>
      </c>
      <c r="E201" vm="398">
        <f ca="1"/>
        <v>14.438800000000001</v>
      </c>
      <c r="F201" s="3">
        <f t="shared" ca="1" si="22"/>
        <v>5.8749999999999997E-2</v>
      </c>
      <c r="G201" s="3">
        <f t="shared" ca="1" si="23"/>
        <v>0.68104838709677418</v>
      </c>
      <c r="H201" s="3">
        <f t="shared" ca="1" si="24"/>
        <v>0.20173387096774192</v>
      </c>
      <c r="I201" s="3">
        <f t="shared" ca="1" si="25"/>
        <v>61.441702127659582</v>
      </c>
      <c r="J201" s="3">
        <f t="shared" ca="1" si="26"/>
        <v>5.3002107756068684</v>
      </c>
      <c r="K201" s="3">
        <f t="shared" ca="1" si="27"/>
        <v>17.893375974415353</v>
      </c>
    </row>
    <row r="202" spans="3:11" x14ac:dyDescent="0.35">
      <c r="C202" t="str">
        <f t="shared" ca="1" si="21"/>
        <v>4Q2020</v>
      </c>
      <c r="D202" vm="399">
        <f ca="1"/>
        <v>44236</v>
      </c>
      <c r="E202" vm="400">
        <f ca="1"/>
        <v>14.263299999999999</v>
      </c>
      <c r="F202" s="3">
        <f t="shared" ca="1" si="22"/>
        <v>5.8749999999999997E-2</v>
      </c>
      <c r="G202" s="3">
        <f t="shared" ca="1" si="23"/>
        <v>0.68104838709677418</v>
      </c>
      <c r="H202" s="3">
        <f t="shared" ca="1" si="24"/>
        <v>0.20173387096774192</v>
      </c>
      <c r="I202" s="3">
        <f t="shared" ca="1" si="25"/>
        <v>60.694893617021279</v>
      </c>
      <c r="J202" s="3">
        <f t="shared" ca="1" si="26"/>
        <v>5.235788040260509</v>
      </c>
      <c r="K202" s="3">
        <f t="shared" ca="1" si="27"/>
        <v>17.675886468119128</v>
      </c>
    </row>
    <row r="203" spans="3:11" x14ac:dyDescent="0.35">
      <c r="C203" t="str">
        <f t="shared" ca="1" si="21"/>
        <v>4Q2020</v>
      </c>
      <c r="D203" vm="401">
        <f ca="1"/>
        <v>44237</v>
      </c>
      <c r="E203" vm="402">
        <f ca="1"/>
        <v>14.7643</v>
      </c>
      <c r="F203" s="3">
        <f t="shared" ca="1" si="22"/>
        <v>5.8749999999999997E-2</v>
      </c>
      <c r="G203" s="3">
        <f t="shared" ca="1" si="23"/>
        <v>0.68104838709677418</v>
      </c>
      <c r="H203" s="3">
        <f t="shared" ca="1" si="24"/>
        <v>0.20173387096774192</v>
      </c>
      <c r="I203" s="3">
        <f t="shared" ca="1" si="25"/>
        <v>62.826808510638301</v>
      </c>
      <c r="J203" s="3">
        <f t="shared" ca="1" si="26"/>
        <v>5.4196956779159269</v>
      </c>
      <c r="K203" s="3">
        <f t="shared" ca="1" si="27"/>
        <v>18.296753947631423</v>
      </c>
    </row>
    <row r="204" spans="3:11" x14ac:dyDescent="0.35">
      <c r="C204" t="str">
        <f t="shared" ca="1" si="21"/>
        <v>4Q2020</v>
      </c>
      <c r="D204" vm="403">
        <f ca="1"/>
        <v>44238</v>
      </c>
      <c r="E204" vm="404">
        <f ca="1"/>
        <v>15.2508</v>
      </c>
      <c r="F204" s="3">
        <f t="shared" ca="1" si="22"/>
        <v>5.8749999999999997E-2</v>
      </c>
      <c r="G204" s="3">
        <f t="shared" ca="1" si="23"/>
        <v>0.68104838709677418</v>
      </c>
      <c r="H204" s="3">
        <f t="shared" ca="1" si="24"/>
        <v>0.20173387096774192</v>
      </c>
      <c r="I204" s="3">
        <f t="shared" ca="1" si="25"/>
        <v>64.897021276595751</v>
      </c>
      <c r="J204" s="3">
        <f t="shared" ca="1" si="26"/>
        <v>5.598280639431616</v>
      </c>
      <c r="K204" s="3">
        <f t="shared" ca="1" si="27"/>
        <v>18.899652208674794</v>
      </c>
    </row>
    <row r="205" spans="3:11" x14ac:dyDescent="0.35">
      <c r="C205" t="str">
        <f t="shared" ca="1" si="21"/>
        <v>4Q2020</v>
      </c>
      <c r="D205" vm="405">
        <f ca="1"/>
        <v>44239</v>
      </c>
      <c r="E205" vm="406">
        <f ca="1"/>
        <v>14.9613</v>
      </c>
      <c r="F205" s="3">
        <f t="shared" ca="1" si="22"/>
        <v>5.8749999999999997E-2</v>
      </c>
      <c r="G205" s="3">
        <f t="shared" ca="1" si="23"/>
        <v>0.68104838709677418</v>
      </c>
      <c r="H205" s="3">
        <f t="shared" ca="1" si="24"/>
        <v>0.20173387096774192</v>
      </c>
      <c r="I205" s="3">
        <f t="shared" ca="1" si="25"/>
        <v>63.665106382978728</v>
      </c>
      <c r="J205" s="3">
        <f t="shared" ca="1" si="26"/>
        <v>5.4920106571936058</v>
      </c>
      <c r="K205" s="3">
        <f t="shared" ca="1" si="27"/>
        <v>18.540887467519489</v>
      </c>
    </row>
    <row r="206" spans="3:11" x14ac:dyDescent="0.35">
      <c r="C206" t="str">
        <f t="shared" ca="1" si="21"/>
        <v>4Q2020</v>
      </c>
      <c r="D206" vm="407">
        <f ca="1"/>
        <v>44243</v>
      </c>
      <c r="E206" vm="408">
        <f ca="1"/>
        <v>15.330299999999999</v>
      </c>
      <c r="F206" s="3">
        <f t="shared" ca="1" si="22"/>
        <v>5.8749999999999997E-2</v>
      </c>
      <c r="G206" s="3">
        <f t="shared" ca="1" si="23"/>
        <v>0.68104838709677418</v>
      </c>
      <c r="H206" s="3">
        <f t="shared" ca="1" si="24"/>
        <v>0.20173387096774192</v>
      </c>
      <c r="I206" s="3">
        <f t="shared" ca="1" si="25"/>
        <v>65.235319148936171</v>
      </c>
      <c r="J206" s="3">
        <f t="shared" ca="1" si="26"/>
        <v>5.6274635879218469</v>
      </c>
      <c r="K206" s="3">
        <f t="shared" ca="1" si="27"/>
        <v>18.998173096142313</v>
      </c>
    </row>
    <row r="207" spans="3:11" x14ac:dyDescent="0.35">
      <c r="C207" t="str">
        <f t="shared" ca="1" si="21"/>
        <v>4Q2020</v>
      </c>
      <c r="D207" vm="409">
        <f ca="1"/>
        <v>44244</v>
      </c>
      <c r="E207" vm="410">
        <f ca="1"/>
        <v>14.906000000000001</v>
      </c>
      <c r="F207" s="3">
        <f t="shared" ca="1" si="22"/>
        <v>5.8749999999999997E-2</v>
      </c>
      <c r="G207" s="3">
        <f t="shared" ca="1" si="23"/>
        <v>0.68104838709677418</v>
      </c>
      <c r="H207" s="3">
        <f t="shared" ca="1" si="24"/>
        <v>0.20173387096774192</v>
      </c>
      <c r="I207" s="3">
        <f t="shared" ca="1" si="25"/>
        <v>63.429787234042557</v>
      </c>
      <c r="J207" s="3">
        <f t="shared" ca="1" si="26"/>
        <v>5.4717110716400237</v>
      </c>
      <c r="K207" s="3">
        <f t="shared" ca="1" si="27"/>
        <v>18.472356586048374</v>
      </c>
    </row>
    <row r="208" spans="3:11" x14ac:dyDescent="0.35">
      <c r="C208" t="str">
        <f t="shared" ca="1" si="21"/>
        <v>4Q2020</v>
      </c>
      <c r="D208" vm="411">
        <f ca="1"/>
        <v>44245</v>
      </c>
      <c r="E208" vm="412">
        <f ca="1"/>
        <v>14.829000000000001</v>
      </c>
      <c r="F208" s="3">
        <f t="shared" ca="1" si="22"/>
        <v>5.8749999999999997E-2</v>
      </c>
      <c r="G208" s="3">
        <f t="shared" ca="1" si="23"/>
        <v>0.68104838709677418</v>
      </c>
      <c r="H208" s="3">
        <f t="shared" ca="1" si="24"/>
        <v>0.20173387096774192</v>
      </c>
      <c r="I208" s="3">
        <f t="shared" ca="1" si="25"/>
        <v>63.102127659574471</v>
      </c>
      <c r="J208" s="3">
        <f t="shared" ca="1" si="26"/>
        <v>5.4434458259325051</v>
      </c>
      <c r="K208" s="3">
        <f t="shared" ca="1" si="27"/>
        <v>18.376933839696186</v>
      </c>
    </row>
    <row r="209" spans="3:11" x14ac:dyDescent="0.35">
      <c r="C209" t="str">
        <f t="shared" ca="1" si="21"/>
        <v>4Q2020</v>
      </c>
      <c r="D209" vm="413">
        <f ca="1"/>
        <v>44246</v>
      </c>
      <c r="E209" vm="414">
        <f ca="1"/>
        <v>14.926500000000001</v>
      </c>
      <c r="F209" s="3">
        <f t="shared" ca="1" si="22"/>
        <v>5.8749999999999997E-2</v>
      </c>
      <c r="G209" s="3">
        <f t="shared" ca="1" si="23"/>
        <v>0.68104838709677418</v>
      </c>
      <c r="H209" s="3">
        <f t="shared" ca="1" si="24"/>
        <v>0.20173387096774192</v>
      </c>
      <c r="I209" s="3">
        <f t="shared" ca="1" si="25"/>
        <v>63.517021276595749</v>
      </c>
      <c r="J209" s="3">
        <f t="shared" ca="1" si="26"/>
        <v>5.4792362344582601</v>
      </c>
      <c r="K209" s="3">
        <f t="shared" ca="1" si="27"/>
        <v>18.497761343194085</v>
      </c>
    </row>
    <row r="210" spans="3:11" x14ac:dyDescent="0.35">
      <c r="C210" t="str">
        <f t="shared" ca="1" si="21"/>
        <v>4Q2020</v>
      </c>
      <c r="D210" vm="415">
        <f ca="1"/>
        <v>44249</v>
      </c>
      <c r="E210" vm="416">
        <f ca="1"/>
        <v>14.3558</v>
      </c>
      <c r="F210" s="3">
        <f t="shared" ca="1" si="22"/>
        <v>5.8749999999999997E-2</v>
      </c>
      <c r="G210" s="3">
        <f t="shared" ca="1" si="23"/>
        <v>0.68104838709677418</v>
      </c>
      <c r="H210" s="3">
        <f t="shared" ca="1" si="24"/>
        <v>0.20173387096774192</v>
      </c>
      <c r="I210" s="3">
        <f t="shared" ca="1" si="25"/>
        <v>61.088510638297876</v>
      </c>
      <c r="J210" s="3">
        <f t="shared" ca="1" si="26"/>
        <v>5.2697430432208412</v>
      </c>
      <c r="K210" s="3">
        <f t="shared" ca="1" si="27"/>
        <v>17.79051768938637</v>
      </c>
    </row>
    <row r="211" spans="3:11" x14ac:dyDescent="0.35">
      <c r="C211" t="str">
        <f t="shared" ca="1" si="21"/>
        <v>4Q2020</v>
      </c>
      <c r="D211" vm="417">
        <f ca="1"/>
        <v>44250</v>
      </c>
      <c r="E211" vm="418">
        <f ca="1"/>
        <v>14.141999999999999</v>
      </c>
      <c r="F211" s="3">
        <f t="shared" ca="1" si="22"/>
        <v>5.8749999999999997E-2</v>
      </c>
      <c r="G211" s="3">
        <f t="shared" ca="1" si="23"/>
        <v>0.68104838709677418</v>
      </c>
      <c r="H211" s="3">
        <f t="shared" ca="1" si="24"/>
        <v>0.20173387096774192</v>
      </c>
      <c r="I211" s="3">
        <f t="shared" ca="1" si="25"/>
        <v>60.178723404255322</v>
      </c>
      <c r="J211" s="3">
        <f t="shared" ca="1" si="26"/>
        <v>5.1912611012433389</v>
      </c>
      <c r="K211" s="3">
        <f t="shared" ca="1" si="27"/>
        <v>17.52556466120328</v>
      </c>
    </row>
    <row r="212" spans="3:11" x14ac:dyDescent="0.35">
      <c r="C212" t="str">
        <f t="shared" ca="1" si="21"/>
        <v>4Q2020</v>
      </c>
      <c r="D212" vm="419">
        <f ca="1"/>
        <v>44251</v>
      </c>
      <c r="E212" vm="420">
        <f ca="1"/>
        <v>14.499000000000001</v>
      </c>
      <c r="F212" s="3">
        <f t="shared" ca="1" si="22"/>
        <v>5.8749999999999997E-2</v>
      </c>
      <c r="G212" s="3">
        <f t="shared" ca="1" si="23"/>
        <v>0.68104838709677418</v>
      </c>
      <c r="H212" s="3">
        <f t="shared" ca="1" si="24"/>
        <v>0.20173387096774192</v>
      </c>
      <c r="I212" s="3">
        <f t="shared" ca="1" si="25"/>
        <v>61.69787234042554</v>
      </c>
      <c r="J212" s="3">
        <f t="shared" ca="1" si="26"/>
        <v>5.3223090586145654</v>
      </c>
      <c r="K212" s="3">
        <f t="shared" ca="1" si="27"/>
        <v>17.967979212472518</v>
      </c>
    </row>
    <row r="213" spans="3:11" x14ac:dyDescent="0.35">
      <c r="C213" t="str">
        <f t="shared" ca="1" si="21"/>
        <v>4Q2020</v>
      </c>
      <c r="D213" vm="421">
        <f ca="1"/>
        <v>44252</v>
      </c>
      <c r="E213" vm="422">
        <f ca="1"/>
        <v>13.307499999999999</v>
      </c>
      <c r="F213" s="3">
        <f t="shared" ca="1" si="22"/>
        <v>5.8749999999999997E-2</v>
      </c>
      <c r="G213" s="3">
        <f t="shared" ca="1" si="23"/>
        <v>0.68104838709677418</v>
      </c>
      <c r="H213" s="3">
        <f t="shared" ca="1" si="24"/>
        <v>0.20173387096774192</v>
      </c>
      <c r="I213" s="3">
        <f t="shared" ca="1" si="25"/>
        <v>56.627659574468083</v>
      </c>
      <c r="J213" s="3">
        <f t="shared" ca="1" si="26"/>
        <v>4.8849319123741859</v>
      </c>
      <c r="K213" s="3">
        <f t="shared" ca="1" si="27"/>
        <v>16.491405156905856</v>
      </c>
    </row>
    <row r="214" spans="3:11" x14ac:dyDescent="0.35">
      <c r="C214" t="str">
        <f t="shared" ca="1" si="21"/>
        <v>4Q2020</v>
      </c>
      <c r="D214" vm="423">
        <f ca="1"/>
        <v>44253</v>
      </c>
      <c r="E214" vm="424">
        <f ca="1"/>
        <v>13.714499999999999</v>
      </c>
      <c r="F214" s="3">
        <f t="shared" ca="1" si="22"/>
        <v>5.8749999999999997E-2</v>
      </c>
      <c r="G214" s="3">
        <f t="shared" ca="1" si="23"/>
        <v>0.68104838709677418</v>
      </c>
      <c r="H214" s="3">
        <f t="shared" ca="1" si="24"/>
        <v>0.20173387096774192</v>
      </c>
      <c r="I214" s="3">
        <f t="shared" ca="1" si="25"/>
        <v>58.359574468085107</v>
      </c>
      <c r="J214" s="3">
        <f t="shared" ca="1" si="26"/>
        <v>5.0343339253996442</v>
      </c>
      <c r="K214" s="3">
        <f t="shared" ca="1" si="27"/>
        <v>16.995782530481712</v>
      </c>
    </row>
    <row r="215" spans="3:11" x14ac:dyDescent="0.35">
      <c r="C215" t="str">
        <f t="shared" ca="1" si="21"/>
        <v>4Q2020</v>
      </c>
      <c r="D215" vm="425">
        <f ca="1"/>
        <v>44256</v>
      </c>
      <c r="E215" vm="426">
        <f ca="1"/>
        <v>13.841799999999999</v>
      </c>
      <c r="F215" s="3">
        <f t="shared" ca="1" si="22"/>
        <v>5.8749999999999997E-2</v>
      </c>
      <c r="G215" s="3">
        <f t="shared" ca="1" si="23"/>
        <v>0.68104838709677418</v>
      </c>
      <c r="H215" s="3">
        <f t="shared" ca="1" si="24"/>
        <v>0.20173387096774192</v>
      </c>
      <c r="I215" s="3">
        <f t="shared" ca="1" si="25"/>
        <v>58.901276595744683</v>
      </c>
      <c r="J215" s="3">
        <f t="shared" ca="1" si="26"/>
        <v>5.0810633510953229</v>
      </c>
      <c r="K215" s="3">
        <f t="shared" ca="1" si="27"/>
        <v>17.153539876074355</v>
      </c>
    </row>
    <row r="216" spans="3:11" x14ac:dyDescent="0.35">
      <c r="C216" t="str">
        <f t="shared" ca="1" si="21"/>
        <v>4Q2020</v>
      </c>
      <c r="D216" vm="427">
        <f ca="1"/>
        <v>44257</v>
      </c>
      <c r="E216" vm="428">
        <f ca="1"/>
        <v>13.4063</v>
      </c>
      <c r="F216" s="3">
        <f t="shared" ca="1" si="22"/>
        <v>5.8749999999999997E-2</v>
      </c>
      <c r="G216" s="3">
        <f t="shared" ca="1" si="23"/>
        <v>0.68104838709677418</v>
      </c>
      <c r="H216" s="3">
        <f t="shared" ca="1" si="24"/>
        <v>0.20173387096774192</v>
      </c>
      <c r="I216" s="3">
        <f t="shared" ca="1" si="25"/>
        <v>57.048085106382985</v>
      </c>
      <c r="J216" s="3">
        <f t="shared" ca="1" si="26"/>
        <v>4.9211995263469506</v>
      </c>
      <c r="K216" s="3">
        <f t="shared" ca="1" si="27"/>
        <v>16.613843693783732</v>
      </c>
    </row>
    <row r="217" spans="3:11" x14ac:dyDescent="0.35">
      <c r="C217" t="str">
        <f t="shared" ca="1" si="21"/>
        <v>4Q2020</v>
      </c>
      <c r="D217" vm="429">
        <f ca="1"/>
        <v>44258</v>
      </c>
      <c r="E217" vm="430">
        <f ca="1"/>
        <v>12.8048</v>
      </c>
      <c r="F217" s="3">
        <f t="shared" ca="1" si="22"/>
        <v>5.8749999999999997E-2</v>
      </c>
      <c r="G217" s="3">
        <f t="shared" ca="1" si="23"/>
        <v>0.68104838709677418</v>
      </c>
      <c r="H217" s="3">
        <f t="shared" ca="1" si="24"/>
        <v>0.20173387096774192</v>
      </c>
      <c r="I217" s="3">
        <f t="shared" ca="1" si="25"/>
        <v>54.488510638297875</v>
      </c>
      <c r="J217" s="3">
        <f t="shared" ca="1" si="26"/>
        <v>4.7004002368265247</v>
      </c>
      <c r="K217" s="3">
        <f t="shared" ca="1" si="27"/>
        <v>15.86843094143514</v>
      </c>
    </row>
    <row r="218" spans="3:11" x14ac:dyDescent="0.35">
      <c r="C218" t="str">
        <f t="shared" ca="1" si="21"/>
        <v>4Q2020</v>
      </c>
      <c r="D218" vm="431">
        <f ca="1"/>
        <v>44259</v>
      </c>
      <c r="E218" vm="432">
        <f ca="1"/>
        <v>12.3703</v>
      </c>
      <c r="F218" s="3">
        <f t="shared" ca="1" si="22"/>
        <v>5.8749999999999997E-2</v>
      </c>
      <c r="G218" s="3">
        <f t="shared" ca="1" si="23"/>
        <v>0.68104838709677418</v>
      </c>
      <c r="H218" s="3">
        <f t="shared" ca="1" si="24"/>
        <v>0.20173387096774192</v>
      </c>
      <c r="I218" s="3">
        <f t="shared" ca="1" si="25"/>
        <v>52.639574468085108</v>
      </c>
      <c r="J218" s="3">
        <f t="shared" ca="1" si="26"/>
        <v>4.5409034931912373</v>
      </c>
      <c r="K218" s="3">
        <f t="shared" ca="1" si="27"/>
        <v>15.329974015590647</v>
      </c>
    </row>
    <row r="219" spans="3:11" x14ac:dyDescent="0.35">
      <c r="C219" t="str">
        <f t="shared" ca="1" si="21"/>
        <v>4Q2020</v>
      </c>
      <c r="D219" vm="433">
        <f ca="1"/>
        <v>44260</v>
      </c>
      <c r="E219" vm="434">
        <f ca="1"/>
        <v>12.461499999999999</v>
      </c>
      <c r="F219" s="3">
        <f t="shared" ca="1" si="22"/>
        <v>5.8749999999999997E-2</v>
      </c>
      <c r="G219" s="3">
        <f t="shared" ca="1" si="23"/>
        <v>0.68104838709677418</v>
      </c>
      <c r="H219" s="3">
        <f t="shared" ca="1" si="24"/>
        <v>0.20173387096774192</v>
      </c>
      <c r="I219" s="3">
        <f t="shared" ca="1" si="25"/>
        <v>53.027659574468082</v>
      </c>
      <c r="J219" s="3">
        <f t="shared" ca="1" si="26"/>
        <v>4.5743812907045589</v>
      </c>
      <c r="K219" s="3">
        <f t="shared" ca="1" si="27"/>
        <v>15.442994203477912</v>
      </c>
    </row>
    <row r="220" spans="3:11" x14ac:dyDescent="0.35">
      <c r="C220" t="str">
        <f t="shared" ca="1" si="21"/>
        <v>4Q2020</v>
      </c>
      <c r="D220" vm="435">
        <f ca="1"/>
        <v>44263</v>
      </c>
      <c r="E220" vm="436">
        <f ca="1"/>
        <v>11.593299999999999</v>
      </c>
      <c r="F220" s="3">
        <f t="shared" ca="1" si="22"/>
        <v>5.8749999999999997E-2</v>
      </c>
      <c r="G220" s="3">
        <f t="shared" ca="1" si="23"/>
        <v>0.68104838709677418</v>
      </c>
      <c r="H220" s="3">
        <f t="shared" ca="1" si="24"/>
        <v>0.20173387096774192</v>
      </c>
      <c r="I220" s="3">
        <f t="shared" ca="1" si="25"/>
        <v>49.333191489361703</v>
      </c>
      <c r="J220" s="3">
        <f t="shared" ca="1" si="26"/>
        <v>4.2556814683244522</v>
      </c>
      <c r="K220" s="3">
        <f t="shared" ca="1" si="27"/>
        <v>14.367071756945833</v>
      </c>
    </row>
    <row r="221" spans="3:11" x14ac:dyDescent="0.35">
      <c r="C221" t="str">
        <f t="shared" ca="1" si="21"/>
        <v>4Q2020</v>
      </c>
      <c r="D221" vm="437">
        <f ca="1"/>
        <v>44264</v>
      </c>
      <c r="E221" vm="438">
        <f ca="1"/>
        <v>12.520300000000001</v>
      </c>
      <c r="F221" s="3">
        <f t="shared" ca="1" si="22"/>
        <v>5.8749999999999997E-2</v>
      </c>
      <c r="G221" s="3">
        <f t="shared" ca="1" si="23"/>
        <v>0.68104838709677418</v>
      </c>
      <c r="H221" s="3">
        <f t="shared" ca="1" si="24"/>
        <v>0.20173387096774192</v>
      </c>
      <c r="I221" s="3">
        <f t="shared" ca="1" si="25"/>
        <v>53.277872340425539</v>
      </c>
      <c r="J221" s="3">
        <f t="shared" ca="1" si="26"/>
        <v>4.5959656601539374</v>
      </c>
      <c r="K221" s="3">
        <f t="shared" ca="1" si="27"/>
        <v>15.515862482510496</v>
      </c>
    </row>
    <row r="222" spans="3:11" x14ac:dyDescent="0.35">
      <c r="C222" t="str">
        <f t="shared" ca="1" si="21"/>
        <v>4Q2020</v>
      </c>
      <c r="D222" vm="439">
        <f ca="1"/>
        <v>44265</v>
      </c>
      <c r="E222" vm="440">
        <f ca="1"/>
        <v>12.468299999999999</v>
      </c>
      <c r="F222" s="3">
        <f t="shared" ca="1" si="22"/>
        <v>5.8749999999999997E-2</v>
      </c>
      <c r="G222" s="3">
        <f t="shared" ca="1" si="23"/>
        <v>0.68104838709677418</v>
      </c>
      <c r="H222" s="3">
        <f t="shared" ca="1" si="24"/>
        <v>0.20173387096774192</v>
      </c>
      <c r="I222" s="3">
        <f t="shared" ca="1" si="25"/>
        <v>53.056595744680848</v>
      </c>
      <c r="J222" s="3">
        <f t="shared" ca="1" si="26"/>
        <v>4.5768774422735348</v>
      </c>
      <c r="K222" s="3">
        <f t="shared" ca="1" si="27"/>
        <v>15.451421147311613</v>
      </c>
    </row>
    <row r="223" spans="3:11" x14ac:dyDescent="0.35">
      <c r="C223" t="str">
        <f t="shared" ca="1" si="21"/>
        <v>4Q2020</v>
      </c>
      <c r="D223" vm="441">
        <f ca="1"/>
        <v>44266</v>
      </c>
      <c r="E223" vm="442">
        <f ca="1"/>
        <v>12.993499999999999</v>
      </c>
      <c r="F223" s="3">
        <f t="shared" ca="1" si="22"/>
        <v>5.8749999999999997E-2</v>
      </c>
      <c r="G223" s="3">
        <f t="shared" ca="1" si="23"/>
        <v>0.68104838709677418</v>
      </c>
      <c r="H223" s="3">
        <f t="shared" ca="1" si="24"/>
        <v>0.20173387096774192</v>
      </c>
      <c r="I223" s="3">
        <f t="shared" ca="1" si="25"/>
        <v>55.291489361702126</v>
      </c>
      <c r="J223" s="3">
        <f t="shared" ca="1" si="26"/>
        <v>4.7696684428656004</v>
      </c>
      <c r="K223" s="3">
        <f t="shared" ca="1" si="27"/>
        <v>16.102278632820308</v>
      </c>
    </row>
    <row r="224" spans="3:11" x14ac:dyDescent="0.35">
      <c r="C224" t="str">
        <f t="shared" ca="1" si="21"/>
        <v>4Q2020</v>
      </c>
      <c r="D224" vm="443">
        <f ca="1"/>
        <v>44267</v>
      </c>
      <c r="E224" vm="444">
        <f ca="1"/>
        <v>12.856</v>
      </c>
      <c r="F224" s="3">
        <f t="shared" ca="1" si="22"/>
        <v>5.8749999999999997E-2</v>
      </c>
      <c r="G224" s="3">
        <f t="shared" ca="1" si="23"/>
        <v>0.68104838709677418</v>
      </c>
      <c r="H224" s="3">
        <f t="shared" ca="1" si="24"/>
        <v>0.20173387096774192</v>
      </c>
      <c r="I224" s="3">
        <f t="shared" ca="1" si="25"/>
        <v>54.706382978723404</v>
      </c>
      <c r="J224" s="3">
        <f t="shared" ca="1" si="26"/>
        <v>4.7191947898164592</v>
      </c>
      <c r="K224" s="3">
        <f t="shared" ca="1" si="27"/>
        <v>15.931880871477114</v>
      </c>
    </row>
    <row r="225" spans="3:11" x14ac:dyDescent="0.35">
      <c r="C225" t="str">
        <f t="shared" ca="1" si="21"/>
        <v>4Q2020</v>
      </c>
      <c r="D225" vm="445">
        <f ca="1"/>
        <v>44270</v>
      </c>
      <c r="E225" vm="446">
        <f ca="1"/>
        <v>13.1913</v>
      </c>
      <c r="F225" s="3">
        <f t="shared" ca="1" si="22"/>
        <v>5.8749999999999997E-2</v>
      </c>
      <c r="G225" s="3">
        <f t="shared" ca="1" si="23"/>
        <v>0.68104838709677418</v>
      </c>
      <c r="H225" s="3">
        <f t="shared" ca="1" si="24"/>
        <v>0.20173387096774192</v>
      </c>
      <c r="I225" s="3">
        <f t="shared" ca="1" si="25"/>
        <v>56.133191489361707</v>
      </c>
      <c r="J225" s="3">
        <f t="shared" ca="1" si="26"/>
        <v>4.8422770870337475</v>
      </c>
      <c r="K225" s="3">
        <f t="shared" ca="1" si="27"/>
        <v>16.347403557865281</v>
      </c>
    </row>
    <row r="226" spans="3:11" x14ac:dyDescent="0.35">
      <c r="C226" t="str">
        <f t="shared" ca="1" si="21"/>
        <v>4Q2020</v>
      </c>
      <c r="D226" vm="447">
        <f ca="1"/>
        <v>44271</v>
      </c>
      <c r="E226" vm="448">
        <f ca="1"/>
        <v>13.2913</v>
      </c>
      <c r="F226" s="3">
        <f t="shared" ca="1" si="22"/>
        <v>5.8749999999999997E-2</v>
      </c>
      <c r="G226" s="3">
        <f t="shared" ca="1" si="23"/>
        <v>0.68104838709677418</v>
      </c>
      <c r="H226" s="3">
        <f t="shared" ca="1" si="24"/>
        <v>0.20173387096774192</v>
      </c>
      <c r="I226" s="3">
        <f t="shared" ca="1" si="25"/>
        <v>56.558723404255318</v>
      </c>
      <c r="J226" s="3">
        <f t="shared" ca="1" si="26"/>
        <v>4.8789851983422139</v>
      </c>
      <c r="K226" s="3">
        <f t="shared" ca="1" si="27"/>
        <v>16.471329202478515</v>
      </c>
    </row>
    <row r="227" spans="3:11" x14ac:dyDescent="0.35">
      <c r="C227" t="str">
        <f t="shared" ca="1" si="21"/>
        <v>4Q2020</v>
      </c>
      <c r="D227" vm="449">
        <f ca="1"/>
        <v>44272</v>
      </c>
      <c r="E227" vm="331">
        <f ca="1"/>
        <v>13.3413</v>
      </c>
      <c r="F227" s="3">
        <f t="shared" ca="1" si="22"/>
        <v>5.8749999999999997E-2</v>
      </c>
      <c r="G227" s="3">
        <f t="shared" ca="1" si="23"/>
        <v>0.68104838709677418</v>
      </c>
      <c r="H227" s="3">
        <f t="shared" ca="1" si="24"/>
        <v>0.20173387096774192</v>
      </c>
      <c r="I227" s="3">
        <f t="shared" ca="1" si="25"/>
        <v>56.77148936170213</v>
      </c>
      <c r="J227" s="3">
        <f t="shared" ca="1" si="26"/>
        <v>4.8973392539964475</v>
      </c>
      <c r="K227" s="3">
        <f t="shared" ca="1" si="27"/>
        <v>16.53329202478513</v>
      </c>
    </row>
    <row r="228" spans="3:11" x14ac:dyDescent="0.35">
      <c r="C228" t="str">
        <f t="shared" ca="1" si="21"/>
        <v>4Q2020</v>
      </c>
      <c r="D228" vm="450">
        <f ca="1"/>
        <v>44273</v>
      </c>
      <c r="E228" vm="451">
        <f ca="1"/>
        <v>12.7225</v>
      </c>
      <c r="F228" s="3">
        <f t="shared" ca="1" si="22"/>
        <v>5.8749999999999997E-2</v>
      </c>
      <c r="G228" s="3">
        <f t="shared" ca="1" si="23"/>
        <v>0.68104838709677418</v>
      </c>
      <c r="H228" s="3">
        <f t="shared" ca="1" si="24"/>
        <v>0.20173387096774192</v>
      </c>
      <c r="I228" s="3">
        <f t="shared" ca="1" si="25"/>
        <v>54.138297872340431</v>
      </c>
      <c r="J228" s="3">
        <f t="shared" ca="1" si="26"/>
        <v>4.6701894612196568</v>
      </c>
      <c r="K228" s="3">
        <f t="shared" ca="1" si="27"/>
        <v>15.766440135918449</v>
      </c>
    </row>
    <row r="229" spans="3:11" x14ac:dyDescent="0.35">
      <c r="C229" t="str">
        <f t="shared" ca="1" si="21"/>
        <v>4Q2020</v>
      </c>
      <c r="D229" vm="452">
        <f ca="1"/>
        <v>44274</v>
      </c>
      <c r="E229" vm="453">
        <f ca="1"/>
        <v>12.845800000000001</v>
      </c>
      <c r="F229" s="3">
        <f t="shared" ca="1" si="22"/>
        <v>5.8749999999999997E-2</v>
      </c>
      <c r="G229" s="3">
        <f t="shared" ca="1" si="23"/>
        <v>0.68104838709677418</v>
      </c>
      <c r="H229" s="3">
        <f t="shared" ca="1" si="24"/>
        <v>0.20173387096774192</v>
      </c>
      <c r="I229" s="3">
        <f t="shared" ca="1" si="25"/>
        <v>54.662978723404258</v>
      </c>
      <c r="J229" s="3">
        <f t="shared" ca="1" si="26"/>
        <v>4.7154505624629959</v>
      </c>
      <c r="K229" s="3">
        <f t="shared" ca="1" si="27"/>
        <v>15.919240455726566</v>
      </c>
    </row>
    <row r="230" spans="3:11" x14ac:dyDescent="0.35">
      <c r="C230" t="str">
        <f t="shared" ca="1" si="21"/>
        <v>4Q2020</v>
      </c>
      <c r="D230" vm="454">
        <f ca="1"/>
        <v>44277</v>
      </c>
      <c r="E230" vm="455">
        <f ca="1"/>
        <v>13.186299999999999</v>
      </c>
      <c r="F230" s="3">
        <f t="shared" ca="1" si="22"/>
        <v>5.8749999999999997E-2</v>
      </c>
      <c r="G230" s="3">
        <f t="shared" ca="1" si="23"/>
        <v>0.68104838709677418</v>
      </c>
      <c r="H230" s="3">
        <f t="shared" ca="1" si="24"/>
        <v>0.20173387096774192</v>
      </c>
      <c r="I230" s="3">
        <f t="shared" ca="1" si="25"/>
        <v>56.111914893617019</v>
      </c>
      <c r="J230" s="3">
        <f t="shared" ca="1" si="26"/>
        <v>4.8404416814683247</v>
      </c>
      <c r="K230" s="3">
        <f t="shared" ca="1" si="27"/>
        <v>16.34120727563462</v>
      </c>
    </row>
    <row r="231" spans="3:11" x14ac:dyDescent="0.35">
      <c r="C231" t="str">
        <f t="shared" ca="1" si="21"/>
        <v>4Q2020</v>
      </c>
      <c r="D231" vm="456">
        <f ca="1"/>
        <v>44278</v>
      </c>
      <c r="E231" vm="457">
        <f ca="1"/>
        <v>13.0708</v>
      </c>
      <c r="F231" s="3">
        <f t="shared" ca="1" si="22"/>
        <v>5.8749999999999997E-2</v>
      </c>
      <c r="G231" s="3">
        <f t="shared" ca="1" si="23"/>
        <v>0.68104838709677418</v>
      </c>
      <c r="H231" s="3">
        <f t="shared" ca="1" si="24"/>
        <v>0.20173387096774192</v>
      </c>
      <c r="I231" s="3">
        <f t="shared" ca="1" si="25"/>
        <v>55.620425531914897</v>
      </c>
      <c r="J231" s="3">
        <f t="shared" ca="1" si="26"/>
        <v>4.7980438129070455</v>
      </c>
      <c r="K231" s="3">
        <f t="shared" ca="1" si="27"/>
        <v>16.198073156106336</v>
      </c>
    </row>
    <row r="232" spans="3:11" x14ac:dyDescent="0.35">
      <c r="C232" t="str">
        <f t="shared" ca="1" si="21"/>
        <v>4Q2020</v>
      </c>
      <c r="D232" vm="458">
        <f ca="1"/>
        <v>44279</v>
      </c>
      <c r="E232" vm="459">
        <f ca="1"/>
        <v>12.643000000000001</v>
      </c>
      <c r="F232" s="3">
        <f t="shared" ca="1" si="22"/>
        <v>5.8749999999999997E-2</v>
      </c>
      <c r="G232" s="3">
        <f t="shared" ca="1" si="23"/>
        <v>0.68104838709677418</v>
      </c>
      <c r="H232" s="3">
        <f t="shared" ca="1" si="24"/>
        <v>0.20173387096774192</v>
      </c>
      <c r="I232" s="3">
        <f t="shared" ca="1" si="25"/>
        <v>53.800000000000004</v>
      </c>
      <c r="J232" s="3">
        <f t="shared" ca="1" si="26"/>
        <v>4.641006512729426</v>
      </c>
      <c r="K232" s="3">
        <f t="shared" ca="1" si="27"/>
        <v>15.66791924845093</v>
      </c>
    </row>
    <row r="233" spans="3:11" x14ac:dyDescent="0.35">
      <c r="C233" t="str">
        <f t="shared" ca="1" si="21"/>
        <v>4Q2020</v>
      </c>
      <c r="D233" vm="460">
        <f ca="1"/>
        <v>44280</v>
      </c>
      <c r="E233" vm="461">
        <f ca="1"/>
        <v>12.535299999999999</v>
      </c>
      <c r="F233" s="3">
        <f t="shared" ca="1" si="22"/>
        <v>5.8749999999999997E-2</v>
      </c>
      <c r="G233" s="3">
        <f t="shared" ca="1" si="23"/>
        <v>0.68104838709677418</v>
      </c>
      <c r="H233" s="3">
        <f t="shared" ca="1" si="24"/>
        <v>0.20173387096774192</v>
      </c>
      <c r="I233" s="3">
        <f t="shared" ca="1" si="25"/>
        <v>53.341702127659573</v>
      </c>
      <c r="J233" s="3">
        <f t="shared" ca="1" si="26"/>
        <v>4.6014718768502068</v>
      </c>
      <c r="K233" s="3">
        <f t="shared" ca="1" si="27"/>
        <v>15.534451329202479</v>
      </c>
    </row>
    <row r="234" spans="3:11" x14ac:dyDescent="0.35">
      <c r="C234" t="str">
        <f t="shared" ca="1" si="21"/>
        <v>4Q2020</v>
      </c>
      <c r="D234" vm="462">
        <f ca="1"/>
        <v>44281</v>
      </c>
      <c r="E234" vm="463">
        <f ca="1"/>
        <v>12.8393</v>
      </c>
      <c r="F234" s="3">
        <f t="shared" ca="1" si="22"/>
        <v>5.8749999999999997E-2</v>
      </c>
      <c r="G234" s="3">
        <f t="shared" ca="1" si="23"/>
        <v>0.68104838709677418</v>
      </c>
      <c r="H234" s="3">
        <f t="shared" ca="1" si="24"/>
        <v>0.20173387096774192</v>
      </c>
      <c r="I234" s="3">
        <f t="shared" ca="1" si="25"/>
        <v>54.635319148936169</v>
      </c>
      <c r="J234" s="3">
        <f t="shared" ca="1" si="26"/>
        <v>4.7130645352279457</v>
      </c>
      <c r="K234" s="3">
        <f t="shared" ca="1" si="27"/>
        <v>15.911185288826704</v>
      </c>
    </row>
    <row r="235" spans="3:11" x14ac:dyDescent="0.35">
      <c r="C235" t="str">
        <f t="shared" ca="1" si="21"/>
        <v>4Q2020</v>
      </c>
      <c r="D235" vm="464">
        <f ca="1"/>
        <v>44284</v>
      </c>
      <c r="E235" vm="465">
        <f ca="1"/>
        <v>12.9483</v>
      </c>
      <c r="F235" s="3">
        <f t="shared" ca="1" si="22"/>
        <v>5.8749999999999997E-2</v>
      </c>
      <c r="G235" s="3">
        <f t="shared" ca="1" si="23"/>
        <v>0.68104838709677418</v>
      </c>
      <c r="H235" s="3">
        <f t="shared" ca="1" si="24"/>
        <v>0.20173387096774192</v>
      </c>
      <c r="I235" s="3">
        <f t="shared" ca="1" si="25"/>
        <v>55.099148936170216</v>
      </c>
      <c r="J235" s="3">
        <f t="shared" ca="1" si="26"/>
        <v>4.7530763765541737</v>
      </c>
      <c r="K235" s="3">
        <f t="shared" ca="1" si="27"/>
        <v>16.046264241455127</v>
      </c>
    </row>
    <row r="236" spans="3:11" x14ac:dyDescent="0.35">
      <c r="C236" t="str">
        <f t="shared" ca="1" si="21"/>
        <v>4Q2020</v>
      </c>
      <c r="D236" vm="466">
        <f ca="1"/>
        <v>44285</v>
      </c>
      <c r="E236" vm="467">
        <f ca="1"/>
        <v>12.8718</v>
      </c>
      <c r="F236" s="3">
        <f t="shared" ca="1" si="22"/>
        <v>5.8749999999999997E-2</v>
      </c>
      <c r="G236" s="3">
        <f t="shared" ca="1" si="23"/>
        <v>0.68104838709677418</v>
      </c>
      <c r="H236" s="3">
        <f t="shared" ca="1" si="24"/>
        <v>0.20173387096774192</v>
      </c>
      <c r="I236" s="3">
        <f t="shared" ca="1" si="25"/>
        <v>54.7736170212766</v>
      </c>
      <c r="J236" s="3">
        <f t="shared" ca="1" si="26"/>
        <v>4.7249946714031976</v>
      </c>
      <c r="K236" s="3">
        <f t="shared" ca="1" si="27"/>
        <v>15.951461123326006</v>
      </c>
    </row>
    <row r="237" spans="3:11" x14ac:dyDescent="0.35">
      <c r="C237" t="str">
        <f t="shared" ca="1" si="21"/>
        <v>4Q2020</v>
      </c>
      <c r="D237" vm="468">
        <f ca="1"/>
        <v>44286</v>
      </c>
      <c r="E237" vm="469">
        <f ca="1"/>
        <v>13.3483</v>
      </c>
      <c r="F237" s="3">
        <f t="shared" ca="1" si="22"/>
        <v>5.8749999999999997E-2</v>
      </c>
      <c r="G237" s="3">
        <f t="shared" ca="1" si="23"/>
        <v>0.68104838709677418</v>
      </c>
      <c r="H237" s="3">
        <f t="shared" ca="1" si="24"/>
        <v>0.20173387096774192</v>
      </c>
      <c r="I237" s="3">
        <f t="shared" ca="1" si="25"/>
        <v>56.801276595744682</v>
      </c>
      <c r="J237" s="3">
        <f t="shared" ca="1" si="26"/>
        <v>4.8999088217880402</v>
      </c>
      <c r="K237" s="3">
        <f t="shared" ca="1" si="27"/>
        <v>16.541966819908055</v>
      </c>
    </row>
    <row r="238" spans="3:11" x14ac:dyDescent="0.35">
      <c r="C238" t="str">
        <f t="shared" ca="1" si="21"/>
        <v>4Q2020</v>
      </c>
      <c r="D238" vm="470">
        <f ca="1"/>
        <v>44287</v>
      </c>
      <c r="E238" vm="471">
        <f ca="1"/>
        <v>13.8118</v>
      </c>
      <c r="F238" s="3">
        <f t="shared" ca="1" si="22"/>
        <v>5.8749999999999997E-2</v>
      </c>
      <c r="G238" s="3">
        <f t="shared" ca="1" si="23"/>
        <v>0.68104838709677418</v>
      </c>
      <c r="H238" s="3">
        <f t="shared" ca="1" si="24"/>
        <v>0.20173387096774192</v>
      </c>
      <c r="I238" s="3">
        <f t="shared" ca="1" si="25"/>
        <v>58.7736170212766</v>
      </c>
      <c r="J238" s="3">
        <f t="shared" ca="1" si="26"/>
        <v>5.0700509177027824</v>
      </c>
      <c r="K238" s="3">
        <f t="shared" ca="1" si="27"/>
        <v>17.116362182690388</v>
      </c>
    </row>
    <row r="239" spans="3:11" x14ac:dyDescent="0.35">
      <c r="C239" t="str">
        <f t="shared" ca="1" si="21"/>
        <v>4Q2020</v>
      </c>
      <c r="D239" vm="472">
        <f ca="1"/>
        <v>44291</v>
      </c>
      <c r="E239" vm="473">
        <f ca="1"/>
        <v>13.987500000000001</v>
      </c>
      <c r="F239" s="3">
        <f t="shared" ca="1" si="22"/>
        <v>5.8749999999999997E-2</v>
      </c>
      <c r="G239" s="3">
        <f t="shared" ca="1" si="23"/>
        <v>0.68104838709677418</v>
      </c>
      <c r="H239" s="3">
        <f t="shared" ca="1" si="24"/>
        <v>0.20173387096774192</v>
      </c>
      <c r="I239" s="3">
        <f t="shared" ca="1" si="25"/>
        <v>59.521276595744688</v>
      </c>
      <c r="J239" s="3">
        <f t="shared" ca="1" si="26"/>
        <v>5.1345470692717585</v>
      </c>
      <c r="K239" s="3">
        <f t="shared" ca="1" si="27"/>
        <v>17.334099540275837</v>
      </c>
    </row>
    <row r="240" spans="3:11" x14ac:dyDescent="0.35">
      <c r="C240" t="str">
        <f t="shared" ca="1" si="21"/>
        <v>4Q2020</v>
      </c>
      <c r="D240" vm="474">
        <f ca="1"/>
        <v>44292</v>
      </c>
      <c r="E240" vm="475">
        <f ca="1"/>
        <v>13.861499999999999</v>
      </c>
      <c r="F240" s="3">
        <f t="shared" ca="1" si="22"/>
        <v>5.8749999999999997E-2</v>
      </c>
      <c r="G240" s="3">
        <f t="shared" ca="1" si="23"/>
        <v>0.68104838709677418</v>
      </c>
      <c r="H240" s="3">
        <f t="shared" ca="1" si="24"/>
        <v>0.20173387096774192</v>
      </c>
      <c r="I240" s="3">
        <f t="shared" ca="1" si="25"/>
        <v>58.985106382978728</v>
      </c>
      <c r="J240" s="3">
        <f t="shared" ca="1" si="26"/>
        <v>5.0882948490230904</v>
      </c>
      <c r="K240" s="3">
        <f t="shared" ca="1" si="27"/>
        <v>17.177953228063163</v>
      </c>
    </row>
    <row r="241" spans="3:11" x14ac:dyDescent="0.35">
      <c r="C241" t="str">
        <f t="shared" ca="1" si="21"/>
        <v>4Q2020</v>
      </c>
      <c r="D241" vm="476">
        <f ca="1"/>
        <v>44293</v>
      </c>
      <c r="E241" vm="477">
        <f ca="1"/>
        <v>14.1435</v>
      </c>
      <c r="F241" s="3">
        <f t="shared" ca="1" si="22"/>
        <v>5.8749999999999997E-2</v>
      </c>
      <c r="G241" s="3">
        <f t="shared" ca="1" si="23"/>
        <v>0.68104838709677418</v>
      </c>
      <c r="H241" s="3">
        <f t="shared" ca="1" si="24"/>
        <v>0.20173387096774192</v>
      </c>
      <c r="I241" s="3">
        <f t="shared" ca="1" si="25"/>
        <v>60.185106382978724</v>
      </c>
      <c r="J241" s="3">
        <f t="shared" ca="1" si="26"/>
        <v>5.1918117229129663</v>
      </c>
      <c r="K241" s="3">
        <f t="shared" ca="1" si="27"/>
        <v>17.527423545872477</v>
      </c>
    </row>
    <row r="242" spans="3:11" x14ac:dyDescent="0.35">
      <c r="C242" t="str">
        <f t="shared" ca="1" si="21"/>
        <v>4Q2020</v>
      </c>
      <c r="D242" vm="478">
        <f ca="1"/>
        <v>44294</v>
      </c>
      <c r="E242" vm="479">
        <f ca="1"/>
        <v>14.317</v>
      </c>
      <c r="F242" s="3">
        <f t="shared" ca="1" si="22"/>
        <v>5.8749999999999997E-2</v>
      </c>
      <c r="G242" s="3">
        <f t="shared" ca="1" si="23"/>
        <v>0.68104838709677418</v>
      </c>
      <c r="H242" s="3">
        <f t="shared" ca="1" si="24"/>
        <v>0.20173387096774192</v>
      </c>
      <c r="I242" s="3">
        <f t="shared" ca="1" si="25"/>
        <v>60.923404255319156</v>
      </c>
      <c r="J242" s="3">
        <f t="shared" ca="1" si="26"/>
        <v>5.2555002960331558</v>
      </c>
      <c r="K242" s="3">
        <f t="shared" ca="1" si="27"/>
        <v>17.742434539276434</v>
      </c>
    </row>
    <row r="243" spans="3:11" x14ac:dyDescent="0.35">
      <c r="C243" t="str">
        <f t="shared" ca="1" si="21"/>
        <v>4Q2020</v>
      </c>
      <c r="D243" vm="480">
        <f ca="1"/>
        <v>44295</v>
      </c>
      <c r="E243" vm="481">
        <f ca="1"/>
        <v>14.4</v>
      </c>
      <c r="F243" s="3">
        <f t="shared" ca="1" si="22"/>
        <v>5.8749999999999997E-2</v>
      </c>
      <c r="G243" s="3">
        <f t="shared" ca="1" si="23"/>
        <v>0.68104838709677418</v>
      </c>
      <c r="H243" s="3">
        <f t="shared" ca="1" si="24"/>
        <v>0.20173387096774192</v>
      </c>
      <c r="I243" s="3">
        <f t="shared" ca="1" si="25"/>
        <v>61.276595744680854</v>
      </c>
      <c r="J243" s="3">
        <f t="shared" ca="1" si="26"/>
        <v>5.285968028419183</v>
      </c>
      <c r="K243" s="3">
        <f t="shared" ca="1" si="27"/>
        <v>17.845292824305417</v>
      </c>
    </row>
    <row r="244" spans="3:11" x14ac:dyDescent="0.35">
      <c r="C244" t="str">
        <f t="shared" ca="1" si="21"/>
        <v>4Q2020</v>
      </c>
      <c r="D244" vm="482">
        <f ca="1"/>
        <v>44298</v>
      </c>
      <c r="E244" vm="483">
        <f ca="1"/>
        <v>15.209</v>
      </c>
      <c r="F244" s="3">
        <f t="shared" ca="1" si="22"/>
        <v>5.8749999999999997E-2</v>
      </c>
      <c r="G244" s="3">
        <f t="shared" ca="1" si="23"/>
        <v>0.68104838709677418</v>
      </c>
      <c r="H244" s="3">
        <f t="shared" ca="1" si="24"/>
        <v>0.20173387096774192</v>
      </c>
      <c r="I244" s="3">
        <f t="shared" ca="1" si="25"/>
        <v>64.719148936170214</v>
      </c>
      <c r="J244" s="3">
        <f t="shared" ca="1" si="26"/>
        <v>5.5829366489046777</v>
      </c>
      <c r="K244" s="3">
        <f t="shared" ca="1" si="27"/>
        <v>18.847851289226465</v>
      </c>
    </row>
    <row r="245" spans="3:11" x14ac:dyDescent="0.35">
      <c r="C245" t="str">
        <f t="shared" ca="1" si="21"/>
        <v>4Q2020</v>
      </c>
      <c r="D245" vm="484">
        <f ca="1"/>
        <v>44299</v>
      </c>
      <c r="E245" vm="485">
        <f ca="1"/>
        <v>15.679500000000001</v>
      </c>
      <c r="F245" s="3">
        <f t="shared" ca="1" si="22"/>
        <v>5.8749999999999997E-2</v>
      </c>
      <c r="G245" s="3">
        <f t="shared" ca="1" si="23"/>
        <v>0.68104838709677418</v>
      </c>
      <c r="H245" s="3">
        <f t="shared" ca="1" si="24"/>
        <v>0.20173387096774192</v>
      </c>
      <c r="I245" s="3">
        <f t="shared" ca="1" si="25"/>
        <v>66.721276595744683</v>
      </c>
      <c r="J245" s="3">
        <f t="shared" ca="1" si="26"/>
        <v>5.7556483126110125</v>
      </c>
      <c r="K245" s="3">
        <f t="shared" ca="1" si="27"/>
        <v>19.430921447131723</v>
      </c>
    </row>
    <row r="246" spans="3:11" x14ac:dyDescent="0.35">
      <c r="C246" t="str">
        <f t="shared" ca="1" si="21"/>
        <v>4Q2020</v>
      </c>
      <c r="D246" vm="486">
        <f ca="1"/>
        <v>44300</v>
      </c>
      <c r="E246" vm="487">
        <f ca="1"/>
        <v>15.276999999999999</v>
      </c>
      <c r="F246" s="3">
        <f t="shared" ca="1" si="22"/>
        <v>5.8749999999999997E-2</v>
      </c>
      <c r="G246" s="3">
        <f t="shared" ca="1" si="23"/>
        <v>0.68104838709677418</v>
      </c>
      <c r="H246" s="3">
        <f t="shared" ca="1" si="24"/>
        <v>0.20173387096774192</v>
      </c>
      <c r="I246" s="3">
        <f t="shared" ca="1" si="25"/>
        <v>65.008510638297878</v>
      </c>
      <c r="J246" s="3">
        <f t="shared" ca="1" si="26"/>
        <v>5.6078981645944346</v>
      </c>
      <c r="K246" s="3">
        <f t="shared" ca="1" si="27"/>
        <v>18.932120727563461</v>
      </c>
    </row>
    <row r="247" spans="3:11" x14ac:dyDescent="0.35">
      <c r="C247" t="str">
        <f t="shared" ca="1" si="21"/>
        <v>4Q2020</v>
      </c>
      <c r="D247" vm="488">
        <f ca="1"/>
        <v>44301</v>
      </c>
      <c r="E247" vm="489">
        <f ca="1"/>
        <v>16.1373</v>
      </c>
      <c r="F247" s="3">
        <f t="shared" ca="1" si="22"/>
        <v>5.8749999999999997E-2</v>
      </c>
      <c r="G247" s="3">
        <f t="shared" ca="1" si="23"/>
        <v>0.68104838709677418</v>
      </c>
      <c r="H247" s="3">
        <f t="shared" ca="1" si="24"/>
        <v>0.20173387096774192</v>
      </c>
      <c r="I247" s="3">
        <f t="shared" ca="1" si="25"/>
        <v>68.669361702127659</v>
      </c>
      <c r="J247" s="3">
        <f t="shared" ca="1" si="26"/>
        <v>5.9236980461811726</v>
      </c>
      <c r="K247" s="3">
        <f t="shared" ca="1" si="27"/>
        <v>19.998253048171097</v>
      </c>
    </row>
    <row r="248" spans="3:11" x14ac:dyDescent="0.35">
      <c r="C248" t="str">
        <f t="shared" ca="1" si="21"/>
        <v>4Q2020</v>
      </c>
      <c r="D248" vm="490">
        <f ca="1"/>
        <v>44302</v>
      </c>
      <c r="E248" vm="491">
        <f ca="1"/>
        <v>15.9125</v>
      </c>
      <c r="F248" s="3">
        <f t="shared" ca="1" si="22"/>
        <v>5.8749999999999997E-2</v>
      </c>
      <c r="G248" s="3">
        <f t="shared" ca="1" si="23"/>
        <v>0.68104838709677418</v>
      </c>
      <c r="H248" s="3">
        <f t="shared" ca="1" si="24"/>
        <v>0.20173387096774192</v>
      </c>
      <c r="I248" s="3">
        <f t="shared" ca="1" si="25"/>
        <v>67.712765957446805</v>
      </c>
      <c r="J248" s="3">
        <f t="shared" ca="1" si="26"/>
        <v>5.8411782119597397</v>
      </c>
      <c r="K248" s="3">
        <f t="shared" ca="1" si="27"/>
        <v>19.719668199080552</v>
      </c>
    </row>
    <row r="249" spans="3:11" x14ac:dyDescent="0.35">
      <c r="C249" t="str">
        <f t="shared" ca="1" si="21"/>
        <v>4Q2020</v>
      </c>
      <c r="D249" vm="492">
        <f ca="1"/>
        <v>44305</v>
      </c>
      <c r="E249" vm="493">
        <f ca="1"/>
        <v>15.361800000000001</v>
      </c>
      <c r="F249" s="3">
        <f t="shared" ca="1" si="22"/>
        <v>5.8749999999999997E-2</v>
      </c>
      <c r="G249" s="3">
        <f t="shared" ca="1" si="23"/>
        <v>0.68104838709677418</v>
      </c>
      <c r="H249" s="3">
        <f t="shared" ca="1" si="24"/>
        <v>0.20173387096774192</v>
      </c>
      <c r="I249" s="3">
        <f t="shared" ca="1" si="25"/>
        <v>65.369361702127662</v>
      </c>
      <c r="J249" s="3">
        <f t="shared" ca="1" si="26"/>
        <v>5.6390266429840148</v>
      </c>
      <c r="K249" s="3">
        <f t="shared" ca="1" si="27"/>
        <v>19.037209674195484</v>
      </c>
    </row>
    <row r="250" spans="3:11" x14ac:dyDescent="0.35">
      <c r="C250" t="str">
        <f t="shared" ca="1" si="21"/>
        <v>4Q2020</v>
      </c>
      <c r="D250" vm="494">
        <f ca="1"/>
        <v>44306</v>
      </c>
      <c r="E250" vm="495">
        <f ca="1"/>
        <v>15.1713</v>
      </c>
      <c r="F250" s="3">
        <f t="shared" ca="1" si="22"/>
        <v>5.8749999999999997E-2</v>
      </c>
      <c r="G250" s="3">
        <f t="shared" ca="1" si="23"/>
        <v>0.68104838709677418</v>
      </c>
      <c r="H250" s="3">
        <f t="shared" ca="1" si="24"/>
        <v>0.20173387096774192</v>
      </c>
      <c r="I250" s="3">
        <f t="shared" ca="1" si="25"/>
        <v>64.558723404255318</v>
      </c>
      <c r="J250" s="3">
        <f t="shared" ca="1" si="26"/>
        <v>5.5690976909413861</v>
      </c>
      <c r="K250" s="3">
        <f t="shared" ca="1" si="27"/>
        <v>18.801131321207276</v>
      </c>
    </row>
    <row r="251" spans="3:11" x14ac:dyDescent="0.35">
      <c r="C251" t="str">
        <f t="shared" ca="1" si="21"/>
        <v>4Q2020</v>
      </c>
      <c r="D251" vm="496">
        <f ca="1"/>
        <v>44307</v>
      </c>
      <c r="E251" vm="497">
        <f ca="1"/>
        <v>15.3605</v>
      </c>
      <c r="F251" s="3">
        <f t="shared" ca="1" si="22"/>
        <v>5.8749999999999997E-2</v>
      </c>
      <c r="G251" s="3">
        <f t="shared" ca="1" si="23"/>
        <v>0.68104838709677418</v>
      </c>
      <c r="H251" s="3">
        <f t="shared" ca="1" si="24"/>
        <v>0.20173387096774192</v>
      </c>
      <c r="I251" s="3">
        <f t="shared" ca="1" si="25"/>
        <v>65.363829787234053</v>
      </c>
      <c r="J251" s="3">
        <f t="shared" ca="1" si="26"/>
        <v>5.6385494375370042</v>
      </c>
      <c r="K251" s="3">
        <f t="shared" ca="1" si="27"/>
        <v>19.035598640815511</v>
      </c>
    </row>
    <row r="252" spans="3:11" x14ac:dyDescent="0.35">
      <c r="C252" t="str">
        <f t="shared" ca="1" si="21"/>
        <v>4Q2020</v>
      </c>
      <c r="D252" vm="498">
        <f ca="1"/>
        <v>44308</v>
      </c>
      <c r="E252" vm="499">
        <f ca="1"/>
        <v>14.850300000000001</v>
      </c>
      <c r="F252" s="3">
        <f t="shared" ca="1" si="22"/>
        <v>5.8749999999999997E-2</v>
      </c>
      <c r="G252" s="3">
        <f t="shared" ca="1" si="23"/>
        <v>0.68104838709677418</v>
      </c>
      <c r="H252" s="3">
        <f t="shared" ca="1" si="24"/>
        <v>0.20173387096774192</v>
      </c>
      <c r="I252" s="3">
        <f t="shared" ca="1" si="25"/>
        <v>63.192765957446817</v>
      </c>
      <c r="J252" s="3">
        <f t="shared" ca="1" si="26"/>
        <v>5.4512646536412079</v>
      </c>
      <c r="K252" s="3">
        <f t="shared" ca="1" si="27"/>
        <v>18.403330001998803</v>
      </c>
    </row>
    <row r="253" spans="3:11" x14ac:dyDescent="0.35">
      <c r="C253" t="str">
        <f t="shared" ca="1" si="21"/>
        <v>4Q2020</v>
      </c>
      <c r="D253" vm="500">
        <f ca="1"/>
        <v>44309</v>
      </c>
      <c r="E253" vm="501">
        <f ca="1"/>
        <v>15.2653</v>
      </c>
      <c r="F253" s="3">
        <f t="shared" ca="1" si="22"/>
        <v>5.8749999999999997E-2</v>
      </c>
      <c r="G253" s="3">
        <f t="shared" ca="1" si="23"/>
        <v>0.68104838709677418</v>
      </c>
      <c r="H253" s="3">
        <f t="shared" ca="1" si="24"/>
        <v>0.20173387096774192</v>
      </c>
      <c r="I253" s="3">
        <f t="shared" ca="1" si="25"/>
        <v>64.958723404255323</v>
      </c>
      <c r="J253" s="3">
        <f t="shared" ca="1" si="26"/>
        <v>5.6036033155713438</v>
      </c>
      <c r="K253" s="3">
        <f t="shared" ca="1" si="27"/>
        <v>18.917621427143715</v>
      </c>
    </row>
    <row r="254" spans="3:11" x14ac:dyDescent="0.35">
      <c r="C254" t="str">
        <f t="shared" ca="1" si="21"/>
        <v>4Q2020</v>
      </c>
      <c r="D254" vm="502">
        <f ca="1"/>
        <v>44312</v>
      </c>
      <c r="E254" vm="503">
        <f ca="1"/>
        <v>15.478</v>
      </c>
      <c r="F254" s="3">
        <f t="shared" ca="1" si="22"/>
        <v>5.8749999999999997E-2</v>
      </c>
      <c r="G254" s="3">
        <f t="shared" ca="1" si="23"/>
        <v>0.68104838709677418</v>
      </c>
      <c r="H254" s="3">
        <f t="shared" ca="1" si="24"/>
        <v>0.20173387096774192</v>
      </c>
      <c r="I254" s="3">
        <f t="shared" ca="1" si="25"/>
        <v>65.863829787234039</v>
      </c>
      <c r="J254" s="3">
        <f t="shared" ca="1" si="26"/>
        <v>5.6816814683244523</v>
      </c>
      <c r="K254" s="3">
        <f t="shared" ca="1" si="27"/>
        <v>19.181211273236059</v>
      </c>
    </row>
    <row r="255" spans="3:11" x14ac:dyDescent="0.35">
      <c r="C255" t="str">
        <f t="shared" ca="1" si="21"/>
        <v>4Q2020</v>
      </c>
      <c r="D255" vm="504">
        <f ca="1"/>
        <v>44313</v>
      </c>
      <c r="E255" vm="505">
        <f ca="1"/>
        <v>15.3818</v>
      </c>
      <c r="F255" s="3">
        <f t="shared" ca="1" si="22"/>
        <v>5.8749999999999997E-2</v>
      </c>
      <c r="G255" s="3">
        <f t="shared" ca="1" si="23"/>
        <v>0.68104838709677418</v>
      </c>
      <c r="H255" s="3">
        <f t="shared" ca="1" si="24"/>
        <v>0.20173387096774192</v>
      </c>
      <c r="I255" s="3">
        <f t="shared" ca="1" si="25"/>
        <v>65.454468085106384</v>
      </c>
      <c r="J255" s="3">
        <f t="shared" ca="1" si="26"/>
        <v>5.6463682652457079</v>
      </c>
      <c r="K255" s="3">
        <f t="shared" ca="1" si="27"/>
        <v>19.061994803118129</v>
      </c>
    </row>
    <row r="256" spans="3:11" x14ac:dyDescent="0.35">
      <c r="C256" t="str">
        <f t="shared" ca="1" si="21"/>
        <v>4Q2020</v>
      </c>
      <c r="D256" vm="506">
        <f ca="1"/>
        <v>44314</v>
      </c>
      <c r="E256" vm="507">
        <f ca="1"/>
        <v>15.2768</v>
      </c>
      <c r="F256" s="3">
        <f t="shared" ca="1" si="22"/>
        <v>5.8749999999999997E-2</v>
      </c>
      <c r="G256" s="3">
        <f t="shared" ca="1" si="23"/>
        <v>0.68104838709677418</v>
      </c>
      <c r="H256" s="3">
        <f t="shared" ca="1" si="24"/>
        <v>0.20173387096774192</v>
      </c>
      <c r="I256" s="3">
        <f t="shared" ca="1" si="25"/>
        <v>65.007659574468093</v>
      </c>
      <c r="J256" s="3">
        <f t="shared" ca="1" si="26"/>
        <v>5.6078247483718178</v>
      </c>
      <c r="K256" s="3">
        <f t="shared" ca="1" si="27"/>
        <v>18.931872876274237</v>
      </c>
    </row>
    <row r="257" spans="3:11" x14ac:dyDescent="0.35">
      <c r="C257" t="str">
        <f t="shared" ca="1" si="21"/>
        <v>4Q2020</v>
      </c>
      <c r="D257" vm="508">
        <f ca="1"/>
        <v>44315</v>
      </c>
      <c r="E257" vm="509">
        <f ca="1"/>
        <v>15.3248</v>
      </c>
      <c r="F257" s="3">
        <f t="shared" ca="1" si="22"/>
        <v>5.8749999999999997E-2</v>
      </c>
      <c r="G257" s="3">
        <f t="shared" ca="1" si="23"/>
        <v>0.68104838709677418</v>
      </c>
      <c r="H257" s="3">
        <f t="shared" ca="1" si="24"/>
        <v>0.20173387096774192</v>
      </c>
      <c r="I257" s="3">
        <f t="shared" ca="1" si="25"/>
        <v>65.211914893617021</v>
      </c>
      <c r="J257" s="3">
        <f t="shared" ca="1" si="26"/>
        <v>5.6254446417998816</v>
      </c>
      <c r="K257" s="3">
        <f t="shared" ca="1" si="27"/>
        <v>18.991357185688589</v>
      </c>
    </row>
    <row r="258" spans="3:11" x14ac:dyDescent="0.35">
      <c r="C258" t="str">
        <f t="shared" ca="1" si="21"/>
        <v>4Q2020</v>
      </c>
      <c r="D258" vm="510">
        <f ca="1"/>
        <v>44316</v>
      </c>
      <c r="E258" vm="511">
        <f ca="1"/>
        <v>15.009499999999999</v>
      </c>
      <c r="F258" s="3">
        <f t="shared" ca="1" si="22"/>
        <v>5.8749999999999997E-2</v>
      </c>
      <c r="G258" s="3">
        <f t="shared" ca="1" si="23"/>
        <v>0.68104838709677418</v>
      </c>
      <c r="H258" s="3">
        <f t="shared" ca="1" si="24"/>
        <v>0.20173387096774192</v>
      </c>
      <c r="I258" s="3">
        <f t="shared" ca="1" si="25"/>
        <v>63.870212765957447</v>
      </c>
      <c r="J258" s="3">
        <f t="shared" ca="1" si="26"/>
        <v>5.5097039668442864</v>
      </c>
      <c r="K258" s="3">
        <f t="shared" ca="1" si="27"/>
        <v>18.600619628223065</v>
      </c>
    </row>
    <row r="259" spans="3:11" x14ac:dyDescent="0.35">
      <c r="C259" t="str">
        <f t="shared" ref="C259:C322" ca="1" si="28">LOOKUP(D259,$N$2:$N$27,$M$2:$M$27)</f>
        <v>1Q2021</v>
      </c>
      <c r="D259" vm="512">
        <f ca="1"/>
        <v>44319</v>
      </c>
      <c r="E259" vm="513">
        <f ca="1"/>
        <v>14.8368</v>
      </c>
      <c r="F259" s="3">
        <f t="shared" ca="1" si="22"/>
        <v>7.6725521669341892E-2</v>
      </c>
      <c r="G259" s="3">
        <f t="shared" ca="1" si="23"/>
        <v>0.7532102728731942</v>
      </c>
      <c r="H259" s="3">
        <f t="shared" ca="1" si="24"/>
        <v>0.22716693418940609</v>
      </c>
      <c r="I259" s="3">
        <f t="shared" ca="1" si="25"/>
        <v>48.343757322175733</v>
      </c>
      <c r="J259" s="3">
        <f t="shared" ca="1" si="26"/>
        <v>4.9245212573255195</v>
      </c>
      <c r="K259" s="3">
        <f t="shared" ca="1" si="27"/>
        <v>16.328080551139376</v>
      </c>
    </row>
    <row r="260" spans="3:11" x14ac:dyDescent="0.35">
      <c r="C260" t="str">
        <f t="shared" ca="1" si="28"/>
        <v>1Q2021</v>
      </c>
      <c r="D260" vm="514">
        <f ca="1"/>
        <v>44320</v>
      </c>
      <c r="E260" vm="515">
        <f ca="1"/>
        <v>14.3513</v>
      </c>
      <c r="F260" s="3">
        <f t="shared" ref="F260:F323" ca="1" si="29">VLOOKUP($C260,$M$2:$R$27,4,0)/VLOOKUP($C260,$M$2:$R$27,3,0)</f>
        <v>7.6725521669341892E-2</v>
      </c>
      <c r="G260" s="3">
        <f t="shared" ref="G260:G323" ca="1" si="30">VLOOKUP($C260,$M$2:$R$27,6,0)/VLOOKUP($C260,$M$2:$R$27,3,0)</f>
        <v>0.7532102728731942</v>
      </c>
      <c r="H260" s="3">
        <f t="shared" ref="H260:H323" ca="1" si="31">VLOOKUP($C260,$M$2:$R$27,5,0)/VLOOKUP($C260,$M$2:$R$27,3,0)</f>
        <v>0.22716693418940609</v>
      </c>
      <c r="I260" s="3">
        <f t="shared" ref="I260:I323" ca="1" si="32">$E260/(F260*4)</f>
        <v>46.761819560669458</v>
      </c>
      <c r="J260" s="3">
        <f t="shared" ref="J260:J323" ca="1" si="33">$E260/(G260*4)</f>
        <v>4.7633776771443799</v>
      </c>
      <c r="K260" s="3">
        <f t="shared" ref="K260:K323" ca="1" si="34">$E260/(H260*4)</f>
        <v>15.793781840664195</v>
      </c>
    </row>
    <row r="261" spans="3:11" x14ac:dyDescent="0.35">
      <c r="C261" t="str">
        <f t="shared" ca="1" si="28"/>
        <v>1Q2021</v>
      </c>
      <c r="D261" vm="516">
        <f ca="1"/>
        <v>44321</v>
      </c>
      <c r="E261" vm="517">
        <f ca="1"/>
        <v>14.458500000000001</v>
      </c>
      <c r="F261" s="3">
        <f t="shared" ca="1" si="29"/>
        <v>7.6725521669341892E-2</v>
      </c>
      <c r="G261" s="3">
        <f t="shared" ca="1" si="30"/>
        <v>0.7532102728731942</v>
      </c>
      <c r="H261" s="3">
        <f t="shared" ca="1" si="31"/>
        <v>0.22716693418940609</v>
      </c>
      <c r="I261" s="3">
        <f t="shared" ca="1" si="32"/>
        <v>47.11111663179917</v>
      </c>
      <c r="J261" s="3">
        <f t="shared" ca="1" si="33"/>
        <v>4.798958710708578</v>
      </c>
      <c r="K261" s="3">
        <f t="shared" ca="1" si="34"/>
        <v>15.911756756756759</v>
      </c>
    </row>
    <row r="262" spans="3:11" x14ac:dyDescent="0.35">
      <c r="C262" t="str">
        <f t="shared" ca="1" si="28"/>
        <v>1Q2021</v>
      </c>
      <c r="D262" vm="518">
        <f ca="1"/>
        <v>44322</v>
      </c>
      <c r="E262" vm="519">
        <f ca="1"/>
        <v>14.523</v>
      </c>
      <c r="F262" s="3">
        <f t="shared" ca="1" si="29"/>
        <v>7.6725521669341892E-2</v>
      </c>
      <c r="G262" s="3">
        <f t="shared" ca="1" si="30"/>
        <v>0.7532102728731942</v>
      </c>
      <c r="H262" s="3">
        <f t="shared" ca="1" si="31"/>
        <v>0.22716693418940609</v>
      </c>
      <c r="I262" s="3">
        <f t="shared" ca="1" si="32"/>
        <v>47.321281380753135</v>
      </c>
      <c r="J262" s="3">
        <f t="shared" ca="1" si="33"/>
        <v>4.8203670751198722</v>
      </c>
      <c r="K262" s="3">
        <f t="shared" ca="1" si="34"/>
        <v>15.982739798622152</v>
      </c>
    </row>
    <row r="263" spans="3:11" x14ac:dyDescent="0.35">
      <c r="C263" t="str">
        <f t="shared" ca="1" si="28"/>
        <v>1Q2021</v>
      </c>
      <c r="D263" vm="520">
        <f ca="1"/>
        <v>44323</v>
      </c>
      <c r="E263" vm="521">
        <f ca="1"/>
        <v>14.8123</v>
      </c>
      <c r="F263" s="3">
        <f t="shared" ca="1" si="29"/>
        <v>7.6725521669341892E-2</v>
      </c>
      <c r="G263" s="3">
        <f t="shared" ca="1" si="30"/>
        <v>0.7532102728731942</v>
      </c>
      <c r="H263" s="3">
        <f t="shared" ca="1" si="31"/>
        <v>0.22716693418940609</v>
      </c>
      <c r="I263" s="3">
        <f t="shared" ca="1" si="32"/>
        <v>48.263927301255229</v>
      </c>
      <c r="J263" s="3">
        <f t="shared" ca="1" si="33"/>
        <v>4.9163893979754931</v>
      </c>
      <c r="K263" s="3">
        <f t="shared" ca="1" si="34"/>
        <v>16.301118000353295</v>
      </c>
    </row>
    <row r="264" spans="3:11" x14ac:dyDescent="0.35">
      <c r="C264" t="str">
        <f t="shared" ca="1" si="28"/>
        <v>1Q2021</v>
      </c>
      <c r="D264" vm="522">
        <f ca="1"/>
        <v>44326</v>
      </c>
      <c r="E264" vm="523">
        <f ca="1"/>
        <v>14.2658</v>
      </c>
      <c r="F264" s="3">
        <f t="shared" ca="1" si="29"/>
        <v>7.6725521669341892E-2</v>
      </c>
      <c r="G264" s="3">
        <f t="shared" ca="1" si="30"/>
        <v>0.7532102728731942</v>
      </c>
      <c r="H264" s="3">
        <f t="shared" ca="1" si="31"/>
        <v>0.22716693418940609</v>
      </c>
      <c r="I264" s="3">
        <f t="shared" ca="1" si="32"/>
        <v>46.48322907949791</v>
      </c>
      <c r="J264" s="3">
        <f t="shared" ca="1" si="33"/>
        <v>4.7349991475759197</v>
      </c>
      <c r="K264" s="3">
        <f t="shared" ca="1" si="34"/>
        <v>15.69968804098216</v>
      </c>
    </row>
    <row r="265" spans="3:11" x14ac:dyDescent="0.35">
      <c r="C265" t="str">
        <f t="shared" ca="1" si="28"/>
        <v>1Q2021</v>
      </c>
      <c r="D265" vm="524">
        <f ca="1"/>
        <v>44327</v>
      </c>
      <c r="E265" vm="525">
        <f ca="1"/>
        <v>14.3063</v>
      </c>
      <c r="F265" s="3">
        <f t="shared" ca="1" si="29"/>
        <v>7.6725521669341892E-2</v>
      </c>
      <c r="G265" s="3">
        <f t="shared" ca="1" si="30"/>
        <v>0.7532102728731942</v>
      </c>
      <c r="H265" s="3">
        <f t="shared" ca="1" si="31"/>
        <v>0.22716693418940609</v>
      </c>
      <c r="I265" s="3">
        <f t="shared" ca="1" si="32"/>
        <v>46.615192991631801</v>
      </c>
      <c r="J265" s="3">
        <f t="shared" ca="1" si="33"/>
        <v>4.7484416089504533</v>
      </c>
      <c r="K265" s="3">
        <f t="shared" ca="1" si="34"/>
        <v>15.744258788199966</v>
      </c>
    </row>
    <row r="266" spans="3:11" x14ac:dyDescent="0.35">
      <c r="C266" t="str">
        <f t="shared" ca="1" si="28"/>
        <v>1Q2021</v>
      </c>
      <c r="D266" vm="526">
        <f ca="1"/>
        <v>44328</v>
      </c>
      <c r="E266" vm="527">
        <f ca="1"/>
        <v>13.7585</v>
      </c>
      <c r="F266" s="3">
        <f t="shared" ca="1" si="29"/>
        <v>7.6725521669341892E-2</v>
      </c>
      <c r="G266" s="3">
        <f t="shared" ca="1" si="30"/>
        <v>0.7532102728731942</v>
      </c>
      <c r="H266" s="3">
        <f t="shared" ca="1" si="31"/>
        <v>0.22716693418940609</v>
      </c>
      <c r="I266" s="3">
        <f t="shared" ca="1" si="32"/>
        <v>44.83025889121339</v>
      </c>
      <c r="J266" s="3">
        <f t="shared" ca="1" si="33"/>
        <v>4.5666198721363882</v>
      </c>
      <c r="K266" s="3">
        <f t="shared" ca="1" si="34"/>
        <v>15.141398162868752</v>
      </c>
    </row>
    <row r="267" spans="3:11" x14ac:dyDescent="0.35">
      <c r="C267" t="str">
        <f t="shared" ca="1" si="28"/>
        <v>1Q2021</v>
      </c>
      <c r="D267" vm="528">
        <f ca="1"/>
        <v>44329</v>
      </c>
      <c r="E267" vm="529">
        <f ca="1"/>
        <v>13.6653</v>
      </c>
      <c r="F267" s="3">
        <f t="shared" ca="1" si="29"/>
        <v>7.6725521669341892E-2</v>
      </c>
      <c r="G267" s="3">
        <f t="shared" ca="1" si="30"/>
        <v>0.7532102728731942</v>
      </c>
      <c r="H267" s="3">
        <f t="shared" ca="1" si="31"/>
        <v>0.22716693418940609</v>
      </c>
      <c r="I267" s="3">
        <f t="shared" ca="1" si="32"/>
        <v>44.526578974895401</v>
      </c>
      <c r="J267" s="3">
        <f t="shared" ca="1" si="33"/>
        <v>4.5356856153436338</v>
      </c>
      <c r="K267" s="3">
        <f t="shared" ca="1" si="34"/>
        <v>15.03883041865395</v>
      </c>
    </row>
    <row r="268" spans="3:11" x14ac:dyDescent="0.35">
      <c r="C268" t="str">
        <f t="shared" ca="1" si="28"/>
        <v>1Q2021</v>
      </c>
      <c r="D268" vm="530">
        <f ca="1"/>
        <v>44330</v>
      </c>
      <c r="E268" vm="531">
        <f ca="1"/>
        <v>14.243</v>
      </c>
      <c r="F268" s="3">
        <f t="shared" ca="1" si="29"/>
        <v>7.6725521669341892E-2</v>
      </c>
      <c r="G268" s="3">
        <f t="shared" ca="1" si="30"/>
        <v>0.7532102728731942</v>
      </c>
      <c r="H268" s="3">
        <f t="shared" ca="1" si="31"/>
        <v>0.22716693418940609</v>
      </c>
      <c r="I268" s="3">
        <f t="shared" ca="1" si="32"/>
        <v>46.408938284518833</v>
      </c>
      <c r="J268" s="3">
        <f t="shared" ca="1" si="33"/>
        <v>4.7274315396909969</v>
      </c>
      <c r="K268" s="3">
        <f t="shared" ca="1" si="34"/>
        <v>15.67459636106695</v>
      </c>
    </row>
    <row r="269" spans="3:11" x14ac:dyDescent="0.35">
      <c r="C269" t="str">
        <f t="shared" ca="1" si="28"/>
        <v>1Q2021</v>
      </c>
      <c r="D269" vm="532">
        <f ca="1"/>
        <v>44333</v>
      </c>
      <c r="E269" vm="533">
        <f ca="1"/>
        <v>14.1655</v>
      </c>
      <c r="F269" s="3">
        <f t="shared" ca="1" si="29"/>
        <v>7.6725521669341892E-2</v>
      </c>
      <c r="G269" s="3">
        <f t="shared" ca="1" si="30"/>
        <v>0.7532102728731942</v>
      </c>
      <c r="H269" s="3">
        <f t="shared" ca="1" si="31"/>
        <v>0.22716693418940609</v>
      </c>
      <c r="I269" s="3">
        <f t="shared" ca="1" si="32"/>
        <v>46.156414748953978</v>
      </c>
      <c r="J269" s="3">
        <f t="shared" ca="1" si="33"/>
        <v>4.7017083111347899</v>
      </c>
      <c r="K269" s="3">
        <f t="shared" ca="1" si="34"/>
        <v>15.589306659600778</v>
      </c>
    </row>
    <row r="270" spans="3:11" x14ac:dyDescent="0.35">
      <c r="C270" t="str">
        <f t="shared" ca="1" si="28"/>
        <v>1Q2021</v>
      </c>
      <c r="D270" vm="534">
        <f ca="1"/>
        <v>44334</v>
      </c>
      <c r="E270" vm="535">
        <f ca="1"/>
        <v>14.0158</v>
      </c>
      <c r="F270" s="3">
        <f t="shared" ca="1" si="29"/>
        <v>7.6725521669341892E-2</v>
      </c>
      <c r="G270" s="3">
        <f t="shared" ca="1" si="30"/>
        <v>0.7532102728731942</v>
      </c>
      <c r="H270" s="3">
        <f t="shared" ca="1" si="31"/>
        <v>0.22716693418940609</v>
      </c>
      <c r="I270" s="3">
        <f t="shared" ca="1" si="32"/>
        <v>45.668637029288703</v>
      </c>
      <c r="J270" s="3">
        <f t="shared" ca="1" si="33"/>
        <v>4.6520209909429946</v>
      </c>
      <c r="K270" s="3">
        <f t="shared" ca="1" si="34"/>
        <v>15.424559971736443</v>
      </c>
    </row>
    <row r="271" spans="3:11" x14ac:dyDescent="0.35">
      <c r="C271" t="str">
        <f t="shared" ca="1" si="28"/>
        <v>1Q2021</v>
      </c>
      <c r="D271" vm="536">
        <f ca="1"/>
        <v>44335</v>
      </c>
      <c r="E271" vm="537">
        <f ca="1"/>
        <v>14.065799999999999</v>
      </c>
      <c r="F271" s="3">
        <f t="shared" ca="1" si="29"/>
        <v>7.6725521669341892E-2</v>
      </c>
      <c r="G271" s="3">
        <f t="shared" ca="1" si="30"/>
        <v>0.7532102728731942</v>
      </c>
      <c r="H271" s="3">
        <f t="shared" ca="1" si="31"/>
        <v>0.22716693418940609</v>
      </c>
      <c r="I271" s="3">
        <f t="shared" ca="1" si="32"/>
        <v>45.831555439330543</v>
      </c>
      <c r="J271" s="3">
        <f t="shared" ca="1" si="33"/>
        <v>4.6686166222695791</v>
      </c>
      <c r="K271" s="3">
        <f t="shared" ca="1" si="34"/>
        <v>15.479585585585586</v>
      </c>
    </row>
    <row r="272" spans="3:11" x14ac:dyDescent="0.35">
      <c r="C272" t="str">
        <f t="shared" ca="1" si="28"/>
        <v>1Q2021</v>
      </c>
      <c r="D272" vm="538">
        <f ca="1"/>
        <v>44336</v>
      </c>
      <c r="E272" vm="539">
        <f ca="1"/>
        <v>14.612500000000001</v>
      </c>
      <c r="F272" s="3">
        <f t="shared" ca="1" si="29"/>
        <v>7.6725521669341892E-2</v>
      </c>
      <c r="G272" s="3">
        <f t="shared" ca="1" si="30"/>
        <v>0.7532102728731942</v>
      </c>
      <c r="H272" s="3">
        <f t="shared" ca="1" si="31"/>
        <v>0.22716693418940609</v>
      </c>
      <c r="I272" s="3">
        <f t="shared" ca="1" si="32"/>
        <v>47.612905334728033</v>
      </c>
      <c r="J272" s="3">
        <f t="shared" ca="1" si="33"/>
        <v>4.8500732551944594</v>
      </c>
      <c r="K272" s="3">
        <f t="shared" ca="1" si="34"/>
        <v>16.081235647412118</v>
      </c>
    </row>
    <row r="273" spans="3:11" x14ac:dyDescent="0.35">
      <c r="C273" t="str">
        <f t="shared" ca="1" si="28"/>
        <v>1Q2021</v>
      </c>
      <c r="D273" vm="540">
        <f ca="1"/>
        <v>44337</v>
      </c>
      <c r="E273" vm="541">
        <f ca="1"/>
        <v>14.9918</v>
      </c>
      <c r="F273" s="3">
        <f t="shared" ca="1" si="29"/>
        <v>7.6725521669341892E-2</v>
      </c>
      <c r="G273" s="3">
        <f t="shared" ca="1" si="30"/>
        <v>0.7532102728731942</v>
      </c>
      <c r="H273" s="3">
        <f t="shared" ca="1" si="31"/>
        <v>0.22716693418940609</v>
      </c>
      <c r="I273" s="3">
        <f t="shared" ca="1" si="32"/>
        <v>48.848804393305436</v>
      </c>
      <c r="J273" s="3">
        <f t="shared" ca="1" si="33"/>
        <v>4.9759677144379326</v>
      </c>
      <c r="K273" s="3">
        <f t="shared" ca="1" si="34"/>
        <v>16.498659954071719</v>
      </c>
    </row>
    <row r="274" spans="3:11" x14ac:dyDescent="0.35">
      <c r="C274" t="str">
        <f t="shared" ca="1" si="28"/>
        <v>1Q2021</v>
      </c>
      <c r="D274" vm="542">
        <f ca="1"/>
        <v>44340</v>
      </c>
      <c r="E274" vm="543">
        <f ca="1"/>
        <v>15.612</v>
      </c>
      <c r="F274" s="3">
        <f t="shared" ca="1" si="29"/>
        <v>7.6725521669341892E-2</v>
      </c>
      <c r="G274" s="3">
        <f t="shared" ca="1" si="30"/>
        <v>0.7532102728731942</v>
      </c>
      <c r="H274" s="3">
        <f t="shared" ca="1" si="31"/>
        <v>0.22716693418940609</v>
      </c>
      <c r="I274" s="3">
        <f t="shared" ca="1" si="32"/>
        <v>50.869644351464437</v>
      </c>
      <c r="J274" s="3">
        <f t="shared" ca="1" si="33"/>
        <v>5.1818199254128929</v>
      </c>
      <c r="K274" s="3">
        <f t="shared" ca="1" si="34"/>
        <v>17.181197668256491</v>
      </c>
    </row>
    <row r="275" spans="3:11" x14ac:dyDescent="0.35">
      <c r="C275" t="str">
        <f t="shared" ca="1" si="28"/>
        <v>1Q2021</v>
      </c>
      <c r="D275" vm="544">
        <f ca="1"/>
        <v>44341</v>
      </c>
      <c r="E275" vm="545">
        <f ca="1"/>
        <v>15.6478</v>
      </c>
      <c r="F275" s="3">
        <f t="shared" ca="1" si="29"/>
        <v>7.6725521669341892E-2</v>
      </c>
      <c r="G275" s="3">
        <f t="shared" ca="1" si="30"/>
        <v>0.7532102728731942</v>
      </c>
      <c r="H275" s="3">
        <f t="shared" ca="1" si="31"/>
        <v>0.22716693418940609</v>
      </c>
      <c r="I275" s="3">
        <f t="shared" ca="1" si="32"/>
        <v>50.986293933054398</v>
      </c>
      <c r="J275" s="3">
        <f t="shared" ca="1" si="33"/>
        <v>5.1937023974427277</v>
      </c>
      <c r="K275" s="3">
        <f t="shared" ca="1" si="34"/>
        <v>17.220596007772478</v>
      </c>
    </row>
    <row r="276" spans="3:11" x14ac:dyDescent="0.35">
      <c r="C276" t="str">
        <f t="shared" ca="1" si="28"/>
        <v>1Q2021</v>
      </c>
      <c r="D276" vm="546">
        <f ca="1"/>
        <v>44342</v>
      </c>
      <c r="E276" vm="547">
        <f ca="1"/>
        <v>15.7</v>
      </c>
      <c r="F276" s="3">
        <f t="shared" ca="1" si="29"/>
        <v>7.6725521669341892E-2</v>
      </c>
      <c r="G276" s="3">
        <f t="shared" ca="1" si="30"/>
        <v>0.7532102728731942</v>
      </c>
      <c r="H276" s="3">
        <f t="shared" ca="1" si="31"/>
        <v>0.22716693418940609</v>
      </c>
      <c r="I276" s="3">
        <f t="shared" ca="1" si="32"/>
        <v>51.156380753138073</v>
      </c>
      <c r="J276" s="3">
        <f t="shared" ca="1" si="33"/>
        <v>5.2110282365476825</v>
      </c>
      <c r="K276" s="3">
        <f t="shared" ca="1" si="34"/>
        <v>17.278042748630984</v>
      </c>
    </row>
    <row r="277" spans="3:11" x14ac:dyDescent="0.35">
      <c r="C277" t="str">
        <f t="shared" ca="1" si="28"/>
        <v>1Q2021</v>
      </c>
      <c r="D277" vm="548">
        <f ca="1"/>
        <v>44343</v>
      </c>
      <c r="E277" vm="549">
        <f ca="1"/>
        <v>15.488</v>
      </c>
      <c r="F277" s="3">
        <f t="shared" ca="1" si="29"/>
        <v>7.6725521669341892E-2</v>
      </c>
      <c r="G277" s="3">
        <f t="shared" ca="1" si="30"/>
        <v>0.7532102728731942</v>
      </c>
      <c r="H277" s="3">
        <f t="shared" ca="1" si="31"/>
        <v>0.22716693418940609</v>
      </c>
      <c r="I277" s="3">
        <f t="shared" ca="1" si="32"/>
        <v>50.46560669456067</v>
      </c>
      <c r="J277" s="3">
        <f t="shared" ca="1" si="33"/>
        <v>5.1406627597229626</v>
      </c>
      <c r="K277" s="3">
        <f t="shared" ca="1" si="34"/>
        <v>17.044734145910617</v>
      </c>
    </row>
    <row r="278" spans="3:11" x14ac:dyDescent="0.35">
      <c r="C278" t="str">
        <f t="shared" ca="1" si="28"/>
        <v>1Q2021</v>
      </c>
      <c r="D278" vm="550">
        <f ca="1"/>
        <v>44344</v>
      </c>
      <c r="E278" vm="551">
        <f ca="1"/>
        <v>16.244499999999999</v>
      </c>
      <c r="F278" s="3">
        <f t="shared" ca="1" si="29"/>
        <v>7.6725521669341892E-2</v>
      </c>
      <c r="G278" s="3">
        <f t="shared" ca="1" si="30"/>
        <v>0.7532102728731942</v>
      </c>
      <c r="H278" s="3">
        <f t="shared" ca="1" si="31"/>
        <v>0.22716693418940609</v>
      </c>
      <c r="I278" s="3">
        <f t="shared" ca="1" si="32"/>
        <v>52.930562238493721</v>
      </c>
      <c r="J278" s="3">
        <f t="shared" ca="1" si="33"/>
        <v>5.3917546616941925</v>
      </c>
      <c r="K278" s="3">
        <f t="shared" ca="1" si="34"/>
        <v>17.877271683448154</v>
      </c>
    </row>
    <row r="279" spans="3:11" x14ac:dyDescent="0.35">
      <c r="C279" t="str">
        <f t="shared" ca="1" si="28"/>
        <v>1Q2021</v>
      </c>
      <c r="D279" vm="552">
        <f ca="1"/>
        <v>44348</v>
      </c>
      <c r="E279" vm="553">
        <f ca="1"/>
        <v>16.264500000000002</v>
      </c>
      <c r="F279" s="3">
        <f t="shared" ca="1" si="29"/>
        <v>7.6725521669341892E-2</v>
      </c>
      <c r="G279" s="3">
        <f t="shared" ca="1" si="30"/>
        <v>0.7532102728731942</v>
      </c>
      <c r="H279" s="3">
        <f t="shared" ca="1" si="31"/>
        <v>0.22716693418940609</v>
      </c>
      <c r="I279" s="3">
        <f t="shared" ca="1" si="32"/>
        <v>52.995729602510465</v>
      </c>
      <c r="J279" s="3">
        <f t="shared" ca="1" si="33"/>
        <v>5.3983929142248277</v>
      </c>
      <c r="K279" s="3">
        <f t="shared" ca="1" si="34"/>
        <v>17.899281928987815</v>
      </c>
    </row>
    <row r="280" spans="3:11" x14ac:dyDescent="0.35">
      <c r="C280" t="str">
        <f t="shared" ca="1" si="28"/>
        <v>1Q2021</v>
      </c>
      <c r="D280" vm="554">
        <f ca="1"/>
        <v>44349</v>
      </c>
      <c r="E280" vm="555">
        <f ca="1"/>
        <v>16.778300000000002</v>
      </c>
      <c r="F280" s="3">
        <f t="shared" ca="1" si="29"/>
        <v>7.6725521669341892E-2</v>
      </c>
      <c r="G280" s="3">
        <f t="shared" ca="1" si="30"/>
        <v>0.7532102728731942</v>
      </c>
      <c r="H280" s="3">
        <f t="shared" ca="1" si="31"/>
        <v>0.22716693418940609</v>
      </c>
      <c r="I280" s="3">
        <f t="shared" ca="1" si="32"/>
        <v>54.669879184100424</v>
      </c>
      <c r="J280" s="3">
        <f t="shared" ca="1" si="33"/>
        <v>5.5689296217368147</v>
      </c>
      <c r="K280" s="3">
        <f t="shared" ca="1" si="34"/>
        <v>18.46472513690161</v>
      </c>
    </row>
    <row r="281" spans="3:11" x14ac:dyDescent="0.35">
      <c r="C281" t="str">
        <f t="shared" ca="1" si="28"/>
        <v>1Q2021</v>
      </c>
      <c r="D281" vm="556">
        <f ca="1"/>
        <v>44350</v>
      </c>
      <c r="E281" vm="557">
        <f ca="1"/>
        <v>16.969799999999999</v>
      </c>
      <c r="F281" s="3">
        <f t="shared" ca="1" si="29"/>
        <v>7.6725521669341892E-2</v>
      </c>
      <c r="G281" s="3">
        <f t="shared" ca="1" si="30"/>
        <v>0.7532102728731942</v>
      </c>
      <c r="H281" s="3">
        <f t="shared" ca="1" si="31"/>
        <v>0.22716693418940609</v>
      </c>
      <c r="I281" s="3">
        <f t="shared" ca="1" si="32"/>
        <v>55.293856694560667</v>
      </c>
      <c r="J281" s="3">
        <f t="shared" ca="1" si="33"/>
        <v>5.6324908897176345</v>
      </c>
      <c r="K281" s="3">
        <f t="shared" ca="1" si="34"/>
        <v>18.675473237943827</v>
      </c>
    </row>
    <row r="282" spans="3:11" x14ac:dyDescent="0.35">
      <c r="C282" t="str">
        <f t="shared" ca="1" si="28"/>
        <v>1Q2021</v>
      </c>
      <c r="D282" vm="558">
        <f ca="1"/>
        <v>44351</v>
      </c>
      <c r="E282" vm="559">
        <f ca="1"/>
        <v>17.578299999999999</v>
      </c>
      <c r="F282" s="3">
        <f t="shared" ca="1" si="29"/>
        <v>7.6725521669341892E-2</v>
      </c>
      <c r="G282" s="3">
        <f t="shared" ca="1" si="30"/>
        <v>0.7532102728731942</v>
      </c>
      <c r="H282" s="3">
        <f t="shared" ca="1" si="31"/>
        <v>0.22716693418940609</v>
      </c>
      <c r="I282" s="3">
        <f t="shared" ca="1" si="32"/>
        <v>57.27657374476987</v>
      </c>
      <c r="J282" s="3">
        <f t="shared" ca="1" si="33"/>
        <v>5.8344597229621735</v>
      </c>
      <c r="K282" s="3">
        <f t="shared" ca="1" si="34"/>
        <v>19.3451349584879</v>
      </c>
    </row>
    <row r="283" spans="3:11" x14ac:dyDescent="0.35">
      <c r="C283" t="str">
        <f t="shared" ca="1" si="28"/>
        <v>1Q2021</v>
      </c>
      <c r="D283" vm="560">
        <f ca="1"/>
        <v>44354</v>
      </c>
      <c r="E283" vm="561">
        <f ca="1"/>
        <v>17.619</v>
      </c>
      <c r="F283" s="3">
        <f t="shared" ca="1" si="29"/>
        <v>7.6725521669341892E-2</v>
      </c>
      <c r="G283" s="3">
        <f t="shared" ca="1" si="30"/>
        <v>0.7532102728731942</v>
      </c>
      <c r="H283" s="3">
        <f t="shared" ca="1" si="31"/>
        <v>0.22716693418940609</v>
      </c>
      <c r="I283" s="3">
        <f t="shared" ca="1" si="32"/>
        <v>57.409189330543931</v>
      </c>
      <c r="J283" s="3">
        <f t="shared" ca="1" si="33"/>
        <v>5.8479685668620141</v>
      </c>
      <c r="K283" s="3">
        <f t="shared" ca="1" si="34"/>
        <v>19.389925808161102</v>
      </c>
    </row>
    <row r="284" spans="3:11" x14ac:dyDescent="0.35">
      <c r="C284" t="str">
        <f t="shared" ca="1" si="28"/>
        <v>1Q2021</v>
      </c>
      <c r="D284" vm="562">
        <f ca="1"/>
        <v>44355</v>
      </c>
      <c r="E284" vm="563">
        <f ca="1"/>
        <v>17.457000000000001</v>
      </c>
      <c r="F284" s="3">
        <f t="shared" ca="1" si="29"/>
        <v>7.6725521669341892E-2</v>
      </c>
      <c r="G284" s="3">
        <f t="shared" ca="1" si="30"/>
        <v>0.7532102728731942</v>
      </c>
      <c r="H284" s="3">
        <f t="shared" ca="1" si="31"/>
        <v>0.22716693418940609</v>
      </c>
      <c r="I284" s="3">
        <f t="shared" ca="1" si="32"/>
        <v>56.881333682008375</v>
      </c>
      <c r="J284" s="3">
        <f t="shared" ca="1" si="33"/>
        <v>5.7941987213638786</v>
      </c>
      <c r="K284" s="3">
        <f t="shared" ca="1" si="34"/>
        <v>19.211642819289878</v>
      </c>
    </row>
    <row r="285" spans="3:11" x14ac:dyDescent="0.35">
      <c r="C285" t="str">
        <f t="shared" ca="1" si="28"/>
        <v>1Q2021</v>
      </c>
      <c r="D285" vm="564">
        <f ca="1"/>
        <v>44356</v>
      </c>
      <c r="E285" vm="565">
        <f ca="1"/>
        <v>17.3583</v>
      </c>
      <c r="F285" s="3">
        <f t="shared" ca="1" si="29"/>
        <v>7.6725521669341892E-2</v>
      </c>
      <c r="G285" s="3">
        <f t="shared" ca="1" si="30"/>
        <v>0.7532102728731942</v>
      </c>
      <c r="H285" s="3">
        <f t="shared" ca="1" si="31"/>
        <v>0.22716693418940609</v>
      </c>
      <c r="I285" s="3">
        <f t="shared" ca="1" si="32"/>
        <v>56.559732740585773</v>
      </c>
      <c r="J285" s="3">
        <f t="shared" ca="1" si="33"/>
        <v>5.7614389451251995</v>
      </c>
      <c r="K285" s="3">
        <f t="shared" ca="1" si="34"/>
        <v>19.103022257551672</v>
      </c>
    </row>
    <row r="286" spans="3:11" x14ac:dyDescent="0.35">
      <c r="C286" t="str">
        <f t="shared" ca="1" si="28"/>
        <v>1Q2021</v>
      </c>
      <c r="D286" vm="566">
        <f ca="1"/>
        <v>44357</v>
      </c>
      <c r="E286" vm="567">
        <f ca="1"/>
        <v>17.425000000000001</v>
      </c>
      <c r="F286" s="3">
        <f t="shared" ca="1" si="29"/>
        <v>7.6725521669341892E-2</v>
      </c>
      <c r="G286" s="3">
        <f t="shared" ca="1" si="30"/>
        <v>0.7532102728731942</v>
      </c>
      <c r="H286" s="3">
        <f t="shared" ca="1" si="31"/>
        <v>0.22716693418940609</v>
      </c>
      <c r="I286" s="3">
        <f t="shared" ca="1" si="32"/>
        <v>56.777065899581594</v>
      </c>
      <c r="J286" s="3">
        <f t="shared" ca="1" si="33"/>
        <v>5.7835775173148649</v>
      </c>
      <c r="K286" s="3">
        <f t="shared" ca="1" si="34"/>
        <v>19.176426426426428</v>
      </c>
    </row>
    <row r="287" spans="3:11" x14ac:dyDescent="0.35">
      <c r="C287" t="str">
        <f t="shared" ca="1" si="28"/>
        <v>1Q2021</v>
      </c>
      <c r="D287" vm="568">
        <f ca="1"/>
        <v>44358</v>
      </c>
      <c r="E287" vm="569">
        <f ca="1"/>
        <v>17.825299999999999</v>
      </c>
      <c r="F287" s="3">
        <f t="shared" ca="1" si="29"/>
        <v>7.6725521669341892E-2</v>
      </c>
      <c r="G287" s="3">
        <f t="shared" ca="1" si="30"/>
        <v>0.7532102728731942</v>
      </c>
      <c r="H287" s="3">
        <f t="shared" ca="1" si="31"/>
        <v>0.22716693418940609</v>
      </c>
      <c r="I287" s="3">
        <f t="shared" ca="1" si="32"/>
        <v>58.081390690376566</v>
      </c>
      <c r="J287" s="3">
        <f t="shared" ca="1" si="33"/>
        <v>5.9164421417155033</v>
      </c>
      <c r="K287" s="3">
        <f t="shared" ca="1" si="34"/>
        <v>19.616961490902668</v>
      </c>
    </row>
    <row r="288" spans="3:11" x14ac:dyDescent="0.35">
      <c r="C288" t="str">
        <f t="shared" ca="1" si="28"/>
        <v>1Q2021</v>
      </c>
      <c r="D288" vm="570">
        <f ca="1"/>
        <v>44361</v>
      </c>
      <c r="E288" vm="571">
        <f ca="1"/>
        <v>18.018799999999999</v>
      </c>
      <c r="F288" s="3">
        <f t="shared" ca="1" si="29"/>
        <v>7.6725521669341892E-2</v>
      </c>
      <c r="G288" s="3">
        <f t="shared" ca="1" si="30"/>
        <v>0.7532102728731942</v>
      </c>
      <c r="H288" s="3">
        <f t="shared" ca="1" si="31"/>
        <v>0.22716693418940609</v>
      </c>
      <c r="I288" s="3">
        <f t="shared" ca="1" si="32"/>
        <v>58.711884937238494</v>
      </c>
      <c r="J288" s="3">
        <f t="shared" ca="1" si="33"/>
        <v>5.9806672349493875</v>
      </c>
      <c r="K288" s="3">
        <f t="shared" ca="1" si="34"/>
        <v>19.82991061649885</v>
      </c>
    </row>
    <row r="289" spans="3:11" x14ac:dyDescent="0.35">
      <c r="C289" t="str">
        <f t="shared" ca="1" si="28"/>
        <v>1Q2021</v>
      </c>
      <c r="D289" vm="572">
        <f ca="1"/>
        <v>44362</v>
      </c>
      <c r="E289" vm="573">
        <f ca="1"/>
        <v>17.788499999999999</v>
      </c>
      <c r="F289" s="3">
        <f t="shared" ca="1" si="29"/>
        <v>7.6725521669341892E-2</v>
      </c>
      <c r="G289" s="3">
        <f t="shared" ca="1" si="30"/>
        <v>0.7532102728731942</v>
      </c>
      <c r="H289" s="3">
        <f t="shared" ca="1" si="31"/>
        <v>0.22716693418940609</v>
      </c>
      <c r="I289" s="3">
        <f t="shared" ca="1" si="32"/>
        <v>57.961482740585772</v>
      </c>
      <c r="J289" s="3">
        <f t="shared" ca="1" si="33"/>
        <v>5.9042277570591368</v>
      </c>
      <c r="K289" s="3">
        <f t="shared" ca="1" si="34"/>
        <v>19.576462639109696</v>
      </c>
    </row>
    <row r="290" spans="3:11" x14ac:dyDescent="0.35">
      <c r="C290" t="str">
        <f t="shared" ca="1" si="28"/>
        <v>1Q2021</v>
      </c>
      <c r="D290" vm="574">
        <f ca="1"/>
        <v>44363</v>
      </c>
      <c r="E290" vm="575">
        <f ca="1"/>
        <v>17.810300000000002</v>
      </c>
      <c r="F290" s="3">
        <f t="shared" ca="1" si="29"/>
        <v>7.6725521669341892E-2</v>
      </c>
      <c r="G290" s="3">
        <f t="shared" ca="1" si="30"/>
        <v>0.7532102728731942</v>
      </c>
      <c r="H290" s="3">
        <f t="shared" ca="1" si="31"/>
        <v>0.22716693418940609</v>
      </c>
      <c r="I290" s="3">
        <f t="shared" ca="1" si="32"/>
        <v>58.032515167364025</v>
      </c>
      <c r="J290" s="3">
        <f t="shared" ca="1" si="33"/>
        <v>5.9114634523175287</v>
      </c>
      <c r="K290" s="3">
        <f t="shared" ca="1" si="34"/>
        <v>19.600453806747929</v>
      </c>
    </row>
    <row r="291" spans="3:11" x14ac:dyDescent="0.35">
      <c r="C291" t="str">
        <f t="shared" ca="1" si="28"/>
        <v>1Q2021</v>
      </c>
      <c r="D291" vm="576">
        <f ca="1"/>
        <v>44364</v>
      </c>
      <c r="E291" vm="577">
        <f ca="1"/>
        <v>18.657299999999999</v>
      </c>
      <c r="F291" s="3">
        <f t="shared" ca="1" si="29"/>
        <v>7.6725521669341892E-2</v>
      </c>
      <c r="G291" s="3">
        <f t="shared" ca="1" si="30"/>
        <v>0.7532102728731942</v>
      </c>
      <c r="H291" s="3">
        <f t="shared" ca="1" si="31"/>
        <v>0.22716693418940609</v>
      </c>
      <c r="I291" s="3">
        <f t="shared" ca="1" si="32"/>
        <v>60.7923530334728</v>
      </c>
      <c r="J291" s="3">
        <f t="shared" ca="1" si="33"/>
        <v>6.1925934469898776</v>
      </c>
      <c r="K291" s="3">
        <f t="shared" ca="1" si="34"/>
        <v>20.532587705352412</v>
      </c>
    </row>
    <row r="292" spans="3:11" x14ac:dyDescent="0.35">
      <c r="C292" t="str">
        <f t="shared" ca="1" si="28"/>
        <v>1Q2021</v>
      </c>
      <c r="D292" vm="578">
        <f ca="1"/>
        <v>44365</v>
      </c>
      <c r="E292" vm="579">
        <f ca="1"/>
        <v>18.6387</v>
      </c>
      <c r="F292" s="3">
        <f t="shared" ca="1" si="29"/>
        <v>7.6725521669341892E-2</v>
      </c>
      <c r="G292" s="3">
        <f t="shared" ca="1" si="30"/>
        <v>0.7532102728731942</v>
      </c>
      <c r="H292" s="3">
        <f t="shared" ca="1" si="31"/>
        <v>0.22716693418940609</v>
      </c>
      <c r="I292" s="3">
        <f t="shared" ca="1" si="32"/>
        <v>60.731747384937243</v>
      </c>
      <c r="J292" s="3">
        <f t="shared" ca="1" si="33"/>
        <v>6.1864198721363879</v>
      </c>
      <c r="K292" s="3">
        <f t="shared" ca="1" si="34"/>
        <v>20.512118177000531</v>
      </c>
    </row>
    <row r="293" spans="3:11" x14ac:dyDescent="0.35">
      <c r="C293" t="str">
        <f t="shared" ca="1" si="28"/>
        <v>1Q2021</v>
      </c>
      <c r="D293" vm="580">
        <f ca="1"/>
        <v>44368</v>
      </c>
      <c r="E293" vm="581">
        <f ca="1"/>
        <v>18.427299999999999</v>
      </c>
      <c r="F293" s="3">
        <f t="shared" ca="1" si="29"/>
        <v>7.6725521669341892E-2</v>
      </c>
      <c r="G293" s="3">
        <f t="shared" ca="1" si="30"/>
        <v>0.7532102728731942</v>
      </c>
      <c r="H293" s="3">
        <f t="shared" ca="1" si="31"/>
        <v>0.22716693418940609</v>
      </c>
      <c r="I293" s="3">
        <f t="shared" ca="1" si="32"/>
        <v>60.042928347280331</v>
      </c>
      <c r="J293" s="3">
        <f t="shared" ca="1" si="33"/>
        <v>6.1162535428875868</v>
      </c>
      <c r="K293" s="3">
        <f t="shared" ca="1" si="34"/>
        <v>20.279469881646353</v>
      </c>
    </row>
    <row r="294" spans="3:11" x14ac:dyDescent="0.35">
      <c r="C294" t="str">
        <f t="shared" ca="1" si="28"/>
        <v>1Q2021</v>
      </c>
      <c r="D294" vm="582">
        <f ca="1"/>
        <v>44369</v>
      </c>
      <c r="E294" vm="583">
        <f ca="1"/>
        <v>18.886800000000001</v>
      </c>
      <c r="F294" s="3">
        <f t="shared" ca="1" si="29"/>
        <v>7.6725521669341892E-2</v>
      </c>
      <c r="G294" s="3">
        <f t="shared" ca="1" si="30"/>
        <v>0.7532102728731942</v>
      </c>
      <c r="H294" s="3">
        <f t="shared" ca="1" si="31"/>
        <v>0.22716693418940609</v>
      </c>
      <c r="I294" s="3">
        <f t="shared" ca="1" si="32"/>
        <v>61.54014853556486</v>
      </c>
      <c r="J294" s="3">
        <f t="shared" ca="1" si="33"/>
        <v>6.2687673947789033</v>
      </c>
      <c r="K294" s="3">
        <f t="shared" ca="1" si="34"/>
        <v>20.78515527291998</v>
      </c>
    </row>
    <row r="295" spans="3:11" x14ac:dyDescent="0.35">
      <c r="C295" t="str">
        <f t="shared" ca="1" si="28"/>
        <v>1Q2021</v>
      </c>
      <c r="D295" vm="584">
        <f ca="1"/>
        <v>44370</v>
      </c>
      <c r="E295" vm="585">
        <f ca="1"/>
        <v>19.057300000000001</v>
      </c>
      <c r="F295" s="3">
        <f t="shared" ca="1" si="29"/>
        <v>7.6725521669341892E-2</v>
      </c>
      <c r="G295" s="3">
        <f t="shared" ca="1" si="30"/>
        <v>0.7532102728731942</v>
      </c>
      <c r="H295" s="3">
        <f t="shared" ca="1" si="31"/>
        <v>0.22716693418940609</v>
      </c>
      <c r="I295" s="3">
        <f t="shared" ca="1" si="32"/>
        <v>62.095700313807541</v>
      </c>
      <c r="J295" s="3">
        <f t="shared" ca="1" si="33"/>
        <v>6.3253584976025579</v>
      </c>
      <c r="K295" s="3">
        <f t="shared" ca="1" si="34"/>
        <v>20.972792616145561</v>
      </c>
    </row>
    <row r="296" spans="3:11" x14ac:dyDescent="0.35">
      <c r="C296" t="str">
        <f t="shared" ca="1" si="28"/>
        <v>1Q2021</v>
      </c>
      <c r="D296" vm="586">
        <f ca="1"/>
        <v>44371</v>
      </c>
      <c r="E296" vm="587">
        <f ca="1"/>
        <v>19.205500000000001</v>
      </c>
      <c r="F296" s="3">
        <f t="shared" ca="1" si="29"/>
        <v>7.6725521669341892E-2</v>
      </c>
      <c r="G296" s="3">
        <f t="shared" ca="1" si="30"/>
        <v>0.7532102728731942</v>
      </c>
      <c r="H296" s="3">
        <f t="shared" ca="1" si="31"/>
        <v>0.22716693418940609</v>
      </c>
      <c r="I296" s="3">
        <f t="shared" ca="1" si="32"/>
        <v>62.578590481171553</v>
      </c>
      <c r="J296" s="3">
        <f t="shared" ca="1" si="33"/>
        <v>6.3745479488545556</v>
      </c>
      <c r="K296" s="3">
        <f t="shared" ca="1" si="34"/>
        <v>21.135888535594418</v>
      </c>
    </row>
    <row r="297" spans="3:11" x14ac:dyDescent="0.35">
      <c r="C297" t="str">
        <f t="shared" ca="1" si="28"/>
        <v>1Q2021</v>
      </c>
      <c r="D297" vm="588">
        <f ca="1"/>
        <v>44372</v>
      </c>
      <c r="E297" vm="589">
        <f ca="1"/>
        <v>19.030999999999999</v>
      </c>
      <c r="F297" s="3">
        <f t="shared" ca="1" si="29"/>
        <v>7.6725521669341892E-2</v>
      </c>
      <c r="G297" s="3">
        <f t="shared" ca="1" si="30"/>
        <v>0.7532102728731942</v>
      </c>
      <c r="H297" s="3">
        <f t="shared" ca="1" si="31"/>
        <v>0.22716693418940609</v>
      </c>
      <c r="I297" s="3">
        <f t="shared" ca="1" si="32"/>
        <v>62.010005230125522</v>
      </c>
      <c r="J297" s="3">
        <f t="shared" ca="1" si="33"/>
        <v>6.3166291955247731</v>
      </c>
      <c r="K297" s="3">
        <f t="shared" ca="1" si="34"/>
        <v>20.943849143260909</v>
      </c>
    </row>
    <row r="298" spans="3:11" x14ac:dyDescent="0.35">
      <c r="C298" t="str">
        <f t="shared" ca="1" si="28"/>
        <v>1Q2021</v>
      </c>
      <c r="D298" vm="590">
        <f ca="1"/>
        <v>44375</v>
      </c>
      <c r="E298" vm="591">
        <f ca="1"/>
        <v>19.984999999999999</v>
      </c>
      <c r="F298" s="3">
        <f t="shared" ca="1" si="29"/>
        <v>7.6725521669341892E-2</v>
      </c>
      <c r="G298" s="3">
        <f t="shared" ca="1" si="30"/>
        <v>0.7532102728731942</v>
      </c>
      <c r="H298" s="3">
        <f t="shared" ca="1" si="31"/>
        <v>0.22716693418940609</v>
      </c>
      <c r="I298" s="3">
        <f t="shared" ca="1" si="32"/>
        <v>65.118488493723845</v>
      </c>
      <c r="J298" s="3">
        <f t="shared" ca="1" si="33"/>
        <v>6.633273841236015</v>
      </c>
      <c r="K298" s="3">
        <f t="shared" ca="1" si="34"/>
        <v>21.993737855502562</v>
      </c>
    </row>
    <row r="299" spans="3:11" x14ac:dyDescent="0.35">
      <c r="C299" t="str">
        <f t="shared" ca="1" si="28"/>
        <v>1Q2021</v>
      </c>
      <c r="D299" vm="592">
        <f ca="1"/>
        <v>44376</v>
      </c>
      <c r="E299" vm="593">
        <f ca="1"/>
        <v>20.026800000000001</v>
      </c>
      <c r="F299" s="3">
        <f t="shared" ca="1" si="29"/>
        <v>7.6725521669341892E-2</v>
      </c>
      <c r="G299" s="3">
        <f t="shared" ca="1" si="30"/>
        <v>0.7532102728731942</v>
      </c>
      <c r="H299" s="3">
        <f t="shared" ca="1" si="31"/>
        <v>0.22716693418940609</v>
      </c>
      <c r="I299" s="3">
        <f t="shared" ca="1" si="32"/>
        <v>65.254688284518835</v>
      </c>
      <c r="J299" s="3">
        <f t="shared" ca="1" si="33"/>
        <v>6.6471477890250403</v>
      </c>
      <c r="K299" s="3">
        <f t="shared" ca="1" si="34"/>
        <v>22.039739268680449</v>
      </c>
    </row>
    <row r="300" spans="3:11" x14ac:dyDescent="0.35">
      <c r="C300" t="str">
        <f t="shared" ca="1" si="28"/>
        <v>1Q2021</v>
      </c>
      <c r="D300" vm="594">
        <f ca="1"/>
        <v>44377</v>
      </c>
      <c r="E300" vm="595">
        <f ca="1"/>
        <v>20.002500000000001</v>
      </c>
      <c r="F300" s="3">
        <f t="shared" ca="1" si="29"/>
        <v>7.6725521669341892E-2</v>
      </c>
      <c r="G300" s="3">
        <f t="shared" ca="1" si="30"/>
        <v>0.7532102728731942</v>
      </c>
      <c r="H300" s="3">
        <f t="shared" ca="1" si="31"/>
        <v>0.22716693418940609</v>
      </c>
      <c r="I300" s="3">
        <f t="shared" ca="1" si="32"/>
        <v>65.175509937238502</v>
      </c>
      <c r="J300" s="3">
        <f t="shared" ca="1" si="33"/>
        <v>6.63908231220032</v>
      </c>
      <c r="K300" s="3">
        <f t="shared" ca="1" si="34"/>
        <v>22.012996820349763</v>
      </c>
    </row>
    <row r="301" spans="3:11" x14ac:dyDescent="0.35">
      <c r="C301" t="str">
        <f t="shared" ca="1" si="28"/>
        <v>1Q2021</v>
      </c>
      <c r="D301" vm="596">
        <f ca="1"/>
        <v>44378</v>
      </c>
      <c r="E301" vm="597">
        <f ca="1"/>
        <v>20.212</v>
      </c>
      <c r="F301" s="3">
        <f t="shared" ca="1" si="29"/>
        <v>7.6725521669341892E-2</v>
      </c>
      <c r="G301" s="3">
        <f t="shared" ca="1" si="30"/>
        <v>0.7532102728731942</v>
      </c>
      <c r="H301" s="3">
        <f t="shared" ca="1" si="31"/>
        <v>0.22716693418940609</v>
      </c>
      <c r="I301" s="3">
        <f t="shared" ca="1" si="32"/>
        <v>65.858138075313803</v>
      </c>
      <c r="J301" s="3">
        <f t="shared" ca="1" si="33"/>
        <v>6.7086180074587105</v>
      </c>
      <c r="K301" s="3">
        <f t="shared" ca="1" si="34"/>
        <v>22.243554142377672</v>
      </c>
    </row>
    <row r="302" spans="3:11" x14ac:dyDescent="0.35">
      <c r="C302" t="str">
        <f t="shared" ca="1" si="28"/>
        <v>1Q2021</v>
      </c>
      <c r="D302" vm="598">
        <f ca="1"/>
        <v>44379</v>
      </c>
      <c r="E302" vm="599">
        <f ca="1"/>
        <v>20.486999999999998</v>
      </c>
      <c r="F302" s="3">
        <f t="shared" ca="1" si="29"/>
        <v>7.6725521669341892E-2</v>
      </c>
      <c r="G302" s="3">
        <f t="shared" ca="1" si="30"/>
        <v>0.7532102728731942</v>
      </c>
      <c r="H302" s="3">
        <f t="shared" ca="1" si="31"/>
        <v>0.22716693418940609</v>
      </c>
      <c r="I302" s="3">
        <f t="shared" ca="1" si="32"/>
        <v>66.754189330543923</v>
      </c>
      <c r="J302" s="3">
        <f t="shared" ca="1" si="33"/>
        <v>6.7998939797549278</v>
      </c>
      <c r="K302" s="3">
        <f t="shared" ca="1" si="34"/>
        <v>22.546195018547959</v>
      </c>
    </row>
    <row r="303" spans="3:11" x14ac:dyDescent="0.35">
      <c r="C303" t="str">
        <f t="shared" ca="1" si="28"/>
        <v>1Q2021</v>
      </c>
      <c r="D303" vm="600">
        <f ca="1"/>
        <v>44383</v>
      </c>
      <c r="E303" vm="601">
        <f ca="1"/>
        <v>20.698499999999999</v>
      </c>
      <c r="F303" s="3">
        <f t="shared" ca="1" si="29"/>
        <v>7.6725521669341892E-2</v>
      </c>
      <c r="G303" s="3">
        <f t="shared" ca="1" si="30"/>
        <v>0.7532102728731942</v>
      </c>
      <c r="H303" s="3">
        <f t="shared" ca="1" si="31"/>
        <v>0.22716693418940609</v>
      </c>
      <c r="I303" s="3">
        <f t="shared" ca="1" si="32"/>
        <v>67.443334205020918</v>
      </c>
      <c r="J303" s="3">
        <f t="shared" ca="1" si="33"/>
        <v>6.8700935002663828</v>
      </c>
      <c r="K303" s="3">
        <f t="shared" ca="1" si="34"/>
        <v>22.778953365129837</v>
      </c>
    </row>
    <row r="304" spans="3:11" x14ac:dyDescent="0.35">
      <c r="C304" t="str">
        <f t="shared" ca="1" si="28"/>
        <v>1Q2021</v>
      </c>
      <c r="D304" vm="602">
        <f ca="1"/>
        <v>44384</v>
      </c>
      <c r="E304" vm="603">
        <f ca="1"/>
        <v>20.3718</v>
      </c>
      <c r="F304" s="3">
        <f t="shared" ca="1" si="29"/>
        <v>7.6725521669341892E-2</v>
      </c>
      <c r="G304" s="3">
        <f t="shared" ca="1" si="30"/>
        <v>0.7532102728731942</v>
      </c>
      <c r="H304" s="3">
        <f t="shared" ca="1" si="31"/>
        <v>0.22716693418940609</v>
      </c>
      <c r="I304" s="3">
        <f t="shared" ca="1" si="32"/>
        <v>66.378825313807539</v>
      </c>
      <c r="J304" s="3">
        <f t="shared" ca="1" si="33"/>
        <v>6.7616576451784765</v>
      </c>
      <c r="K304" s="3">
        <f t="shared" ca="1" si="34"/>
        <v>22.419416004239537</v>
      </c>
    </row>
    <row r="305" spans="3:11" x14ac:dyDescent="0.35">
      <c r="C305" t="str">
        <f t="shared" ca="1" si="28"/>
        <v>1Q2021</v>
      </c>
      <c r="D305" vm="604">
        <f ca="1"/>
        <v>44385</v>
      </c>
      <c r="E305" vm="605">
        <f ca="1"/>
        <v>19.902799999999999</v>
      </c>
      <c r="F305" s="3">
        <f t="shared" ca="1" si="29"/>
        <v>7.6725521669341892E-2</v>
      </c>
      <c r="G305" s="3">
        <f t="shared" ca="1" si="30"/>
        <v>0.7532102728731942</v>
      </c>
      <c r="H305" s="3">
        <f t="shared" ca="1" si="31"/>
        <v>0.22716693418940609</v>
      </c>
      <c r="I305" s="3">
        <f t="shared" ca="1" si="32"/>
        <v>64.850650627615067</v>
      </c>
      <c r="J305" s="3">
        <f t="shared" ca="1" si="33"/>
        <v>6.6059906233351091</v>
      </c>
      <c r="K305" s="3">
        <f t="shared" ca="1" si="34"/>
        <v>21.903275746334568</v>
      </c>
    </row>
    <row r="306" spans="3:11" x14ac:dyDescent="0.35">
      <c r="C306" t="str">
        <f t="shared" ca="1" si="28"/>
        <v>1Q2021</v>
      </c>
      <c r="D306" vm="606">
        <f ca="1"/>
        <v>44386</v>
      </c>
      <c r="E306" vm="607">
        <f ca="1"/>
        <v>20.0503</v>
      </c>
      <c r="F306" s="3">
        <f t="shared" ca="1" si="29"/>
        <v>7.6725521669341892E-2</v>
      </c>
      <c r="G306" s="3">
        <f t="shared" ca="1" si="30"/>
        <v>0.7532102728731942</v>
      </c>
      <c r="H306" s="3">
        <f t="shared" ca="1" si="31"/>
        <v>0.22716693418940609</v>
      </c>
      <c r="I306" s="3">
        <f t="shared" ca="1" si="32"/>
        <v>65.331259937238499</v>
      </c>
      <c r="J306" s="3">
        <f t="shared" ca="1" si="33"/>
        <v>6.6549477357485349</v>
      </c>
      <c r="K306" s="3">
        <f t="shared" ca="1" si="34"/>
        <v>22.065601307189542</v>
      </c>
    </row>
    <row r="307" spans="3:11" x14ac:dyDescent="0.35">
      <c r="C307" t="str">
        <f t="shared" ca="1" si="28"/>
        <v>1Q2021</v>
      </c>
      <c r="D307" vm="608">
        <f ca="1"/>
        <v>44389</v>
      </c>
      <c r="E307" vm="609">
        <f ca="1"/>
        <v>20.512499999999999</v>
      </c>
      <c r="F307" s="3">
        <f t="shared" ca="1" si="29"/>
        <v>7.6725521669341892E-2</v>
      </c>
      <c r="G307" s="3">
        <f t="shared" ca="1" si="30"/>
        <v>0.7532102728731942</v>
      </c>
      <c r="H307" s="3">
        <f t="shared" ca="1" si="31"/>
        <v>0.22716693418940609</v>
      </c>
      <c r="I307" s="3">
        <f t="shared" ca="1" si="32"/>
        <v>66.837277719665266</v>
      </c>
      <c r="J307" s="3">
        <f t="shared" ca="1" si="33"/>
        <v>6.8083577517314868</v>
      </c>
      <c r="K307" s="3">
        <f t="shared" ca="1" si="34"/>
        <v>22.574258081611024</v>
      </c>
    </row>
    <row r="308" spans="3:11" x14ac:dyDescent="0.35">
      <c r="C308" t="str">
        <f t="shared" ca="1" si="28"/>
        <v>1Q2021</v>
      </c>
      <c r="D308" vm="610">
        <f ca="1"/>
        <v>44390</v>
      </c>
      <c r="E308" vm="611">
        <f ca="1"/>
        <v>20.25</v>
      </c>
      <c r="F308" s="3">
        <f t="shared" ca="1" si="29"/>
        <v>7.6725521669341892E-2</v>
      </c>
      <c r="G308" s="3">
        <f t="shared" ca="1" si="30"/>
        <v>0.7532102728731942</v>
      </c>
      <c r="H308" s="3">
        <f t="shared" ca="1" si="31"/>
        <v>0.22716693418940609</v>
      </c>
      <c r="I308" s="3">
        <f t="shared" ca="1" si="32"/>
        <v>65.981956066945614</v>
      </c>
      <c r="J308" s="3">
        <f t="shared" ca="1" si="33"/>
        <v>6.7212306872669156</v>
      </c>
      <c r="K308" s="3">
        <f t="shared" ca="1" si="34"/>
        <v>22.285373608903022</v>
      </c>
    </row>
    <row r="309" spans="3:11" x14ac:dyDescent="0.35">
      <c r="C309" t="str">
        <f t="shared" ca="1" si="28"/>
        <v>1Q2021</v>
      </c>
      <c r="D309" vm="612">
        <f ca="1"/>
        <v>44391</v>
      </c>
      <c r="E309" vm="613">
        <f ca="1"/>
        <v>19.8415</v>
      </c>
      <c r="F309" s="3">
        <f t="shared" ca="1" si="29"/>
        <v>7.6725521669341892E-2</v>
      </c>
      <c r="G309" s="3">
        <f t="shared" ca="1" si="30"/>
        <v>0.7532102728731942</v>
      </c>
      <c r="H309" s="3">
        <f t="shared" ca="1" si="31"/>
        <v>0.22716693418940609</v>
      </c>
      <c r="I309" s="3">
        <f t="shared" ca="1" si="32"/>
        <v>64.65091265690377</v>
      </c>
      <c r="J309" s="3">
        <f t="shared" ca="1" si="33"/>
        <v>6.5856443793287163</v>
      </c>
      <c r="K309" s="3">
        <f t="shared" ca="1" si="34"/>
        <v>21.835814343755523</v>
      </c>
    </row>
    <row r="310" spans="3:11" x14ac:dyDescent="0.35">
      <c r="C310" t="str">
        <f t="shared" ca="1" si="28"/>
        <v>1Q2021</v>
      </c>
      <c r="D310" vm="614">
        <f ca="1"/>
        <v>44392</v>
      </c>
      <c r="E310" vm="615">
        <f ca="1"/>
        <v>18.9663</v>
      </c>
      <c r="F310" s="3">
        <f t="shared" ca="1" si="29"/>
        <v>7.6725521669341892E-2</v>
      </c>
      <c r="G310" s="3">
        <f t="shared" ca="1" si="30"/>
        <v>0.7532102728731942</v>
      </c>
      <c r="H310" s="3">
        <f t="shared" ca="1" si="31"/>
        <v>0.22716693418940609</v>
      </c>
      <c r="I310" s="3">
        <f t="shared" ca="1" si="32"/>
        <v>61.799188807531387</v>
      </c>
      <c r="J310" s="3">
        <f t="shared" ca="1" si="33"/>
        <v>6.295154448588173</v>
      </c>
      <c r="K310" s="3">
        <f t="shared" ca="1" si="34"/>
        <v>20.872645998940119</v>
      </c>
    </row>
    <row r="311" spans="3:11" x14ac:dyDescent="0.35">
      <c r="C311" t="str">
        <f t="shared" ca="1" si="28"/>
        <v>1Q2021</v>
      </c>
      <c r="D311" vm="616">
        <f ca="1"/>
        <v>44393</v>
      </c>
      <c r="E311" vm="617">
        <f ca="1"/>
        <v>18.161000000000001</v>
      </c>
      <c r="F311" s="3">
        <f t="shared" ca="1" si="29"/>
        <v>7.6725521669341892E-2</v>
      </c>
      <c r="G311" s="3">
        <f t="shared" ca="1" si="30"/>
        <v>0.7532102728731942</v>
      </c>
      <c r="H311" s="3">
        <f t="shared" ca="1" si="31"/>
        <v>0.22716693418940609</v>
      </c>
      <c r="I311" s="3">
        <f t="shared" ca="1" si="32"/>
        <v>59.175224895397498</v>
      </c>
      <c r="J311" s="3">
        <f t="shared" ca="1" si="33"/>
        <v>6.0278652104421955</v>
      </c>
      <c r="K311" s="3">
        <f t="shared" ca="1" si="34"/>
        <v>19.986403462285818</v>
      </c>
    </row>
    <row r="312" spans="3:11" x14ac:dyDescent="0.35">
      <c r="C312" t="str">
        <f t="shared" ca="1" si="28"/>
        <v>1Q2021</v>
      </c>
      <c r="D312" vm="618">
        <f ca="1"/>
        <v>44396</v>
      </c>
      <c r="E312" vm="619">
        <f ca="1"/>
        <v>18.779800000000002</v>
      </c>
      <c r="F312" s="3">
        <f t="shared" ca="1" si="29"/>
        <v>7.6725521669341892E-2</v>
      </c>
      <c r="G312" s="3">
        <f t="shared" ca="1" si="30"/>
        <v>0.7532102728731942</v>
      </c>
      <c r="H312" s="3">
        <f t="shared" ca="1" si="31"/>
        <v>0.22716693418940609</v>
      </c>
      <c r="I312" s="3">
        <f t="shared" ca="1" si="32"/>
        <v>61.191503138075319</v>
      </c>
      <c r="J312" s="3">
        <f t="shared" ca="1" si="33"/>
        <v>6.2332527437400111</v>
      </c>
      <c r="K312" s="3">
        <f t="shared" ca="1" si="34"/>
        <v>20.667400459282813</v>
      </c>
    </row>
    <row r="313" spans="3:11" x14ac:dyDescent="0.35">
      <c r="C313" t="str">
        <f t="shared" ca="1" si="28"/>
        <v>1Q2021</v>
      </c>
      <c r="D313" vm="620">
        <f ca="1"/>
        <v>44397</v>
      </c>
      <c r="E313" vm="621">
        <f ca="1"/>
        <v>18.611999999999998</v>
      </c>
      <c r="F313" s="3">
        <f t="shared" ca="1" si="29"/>
        <v>7.6725521669341892E-2</v>
      </c>
      <c r="G313" s="3">
        <f t="shared" ca="1" si="30"/>
        <v>0.7532102728731942</v>
      </c>
      <c r="H313" s="3">
        <f t="shared" ca="1" si="31"/>
        <v>0.22716693418940609</v>
      </c>
      <c r="I313" s="3">
        <f t="shared" ca="1" si="32"/>
        <v>60.64474895397489</v>
      </c>
      <c r="J313" s="3">
        <f t="shared" ca="1" si="33"/>
        <v>6.1775578050079911</v>
      </c>
      <c r="K313" s="3">
        <f t="shared" ca="1" si="34"/>
        <v>20.482734499205087</v>
      </c>
    </row>
    <row r="314" spans="3:11" x14ac:dyDescent="0.35">
      <c r="C314" t="str">
        <f t="shared" ca="1" si="28"/>
        <v>1Q2021</v>
      </c>
      <c r="D314" vm="622">
        <f ca="1"/>
        <v>44398</v>
      </c>
      <c r="E314" vm="623">
        <f ca="1"/>
        <v>19.41</v>
      </c>
      <c r="F314" s="3">
        <f t="shared" ca="1" si="29"/>
        <v>7.6725521669341892E-2</v>
      </c>
      <c r="G314" s="3">
        <f t="shared" ca="1" si="30"/>
        <v>0.7532102728731942</v>
      </c>
      <c r="H314" s="3">
        <f t="shared" ca="1" si="31"/>
        <v>0.22716693418940609</v>
      </c>
      <c r="I314" s="3">
        <f t="shared" ca="1" si="32"/>
        <v>63.244926778242679</v>
      </c>
      <c r="J314" s="3">
        <f t="shared" ca="1" si="33"/>
        <v>6.4424240809802882</v>
      </c>
      <c r="K314" s="3">
        <f t="shared" ca="1" si="34"/>
        <v>21.360943296237416</v>
      </c>
    </row>
    <row r="315" spans="3:11" x14ac:dyDescent="0.35">
      <c r="C315" t="str">
        <f t="shared" ca="1" si="28"/>
        <v>1Q2021</v>
      </c>
      <c r="D315" vm="624">
        <f ca="1"/>
        <v>44399</v>
      </c>
      <c r="E315" vm="625">
        <f ca="1"/>
        <v>19.594000000000001</v>
      </c>
      <c r="F315" s="3">
        <f t="shared" ca="1" si="29"/>
        <v>7.6725521669341892E-2</v>
      </c>
      <c r="G315" s="3">
        <f t="shared" ca="1" si="30"/>
        <v>0.7532102728731942</v>
      </c>
      <c r="H315" s="3">
        <f t="shared" ca="1" si="31"/>
        <v>0.22716693418940609</v>
      </c>
      <c r="I315" s="3">
        <f t="shared" ca="1" si="32"/>
        <v>63.844466527196658</v>
      </c>
      <c r="J315" s="3">
        <f t="shared" ca="1" si="33"/>
        <v>6.5034960042621206</v>
      </c>
      <c r="K315" s="3">
        <f t="shared" ca="1" si="34"/>
        <v>21.563437555202263</v>
      </c>
    </row>
    <row r="316" spans="3:11" x14ac:dyDescent="0.35">
      <c r="C316" t="str">
        <f t="shared" ca="1" si="28"/>
        <v>1Q2021</v>
      </c>
      <c r="D316" vm="626">
        <f ca="1"/>
        <v>44400</v>
      </c>
      <c r="E316" vm="627">
        <f ca="1"/>
        <v>19.558</v>
      </c>
      <c r="F316" s="3">
        <f t="shared" ca="1" si="29"/>
        <v>7.6725521669341892E-2</v>
      </c>
      <c r="G316" s="3">
        <f t="shared" ca="1" si="30"/>
        <v>0.7532102728731942</v>
      </c>
      <c r="H316" s="3">
        <f t="shared" ca="1" si="31"/>
        <v>0.22716693418940609</v>
      </c>
      <c r="I316" s="3">
        <f t="shared" ca="1" si="32"/>
        <v>63.727165271966527</v>
      </c>
      <c r="J316" s="3">
        <f t="shared" ca="1" si="33"/>
        <v>6.491547149706979</v>
      </c>
      <c r="K316" s="3">
        <f t="shared" ca="1" si="34"/>
        <v>21.523819113230878</v>
      </c>
    </row>
    <row r="317" spans="3:11" x14ac:dyDescent="0.35">
      <c r="C317" t="str">
        <f t="shared" ca="1" si="28"/>
        <v>1Q2021</v>
      </c>
      <c r="D317" vm="628">
        <f ca="1"/>
        <v>44403</v>
      </c>
      <c r="E317" vm="629">
        <f ca="1"/>
        <v>19.294</v>
      </c>
      <c r="F317" s="3">
        <f t="shared" ca="1" si="29"/>
        <v>7.6725521669341892E-2</v>
      </c>
      <c r="G317" s="3">
        <f t="shared" ca="1" si="30"/>
        <v>0.7532102728731942</v>
      </c>
      <c r="H317" s="3">
        <f t="shared" ca="1" si="31"/>
        <v>0.22716693418940609</v>
      </c>
      <c r="I317" s="3">
        <f t="shared" ca="1" si="32"/>
        <v>62.866956066945612</v>
      </c>
      <c r="J317" s="3">
        <f t="shared" ca="1" si="33"/>
        <v>6.403922216302611</v>
      </c>
      <c r="K317" s="3">
        <f t="shared" ca="1" si="34"/>
        <v>21.233283872107403</v>
      </c>
    </row>
    <row r="318" spans="3:11" x14ac:dyDescent="0.35">
      <c r="C318" t="str">
        <f t="shared" ca="1" si="28"/>
        <v>1Q2021</v>
      </c>
      <c r="D318" vm="630">
        <f ca="1"/>
        <v>44404</v>
      </c>
      <c r="E318" vm="631">
        <f ca="1"/>
        <v>19.207999999999998</v>
      </c>
      <c r="F318" s="3">
        <f t="shared" ca="1" si="29"/>
        <v>7.6725521669341892E-2</v>
      </c>
      <c r="G318" s="3">
        <f t="shared" ca="1" si="30"/>
        <v>0.7532102728731942</v>
      </c>
      <c r="H318" s="3">
        <f t="shared" ca="1" si="31"/>
        <v>0.22716693418940609</v>
      </c>
      <c r="I318" s="3">
        <f t="shared" ca="1" si="32"/>
        <v>62.586736401673633</v>
      </c>
      <c r="J318" s="3">
        <f t="shared" ca="1" si="33"/>
        <v>6.3753777304208841</v>
      </c>
      <c r="K318" s="3">
        <f t="shared" ca="1" si="34"/>
        <v>21.138639816286876</v>
      </c>
    </row>
    <row r="319" spans="3:11" x14ac:dyDescent="0.35">
      <c r="C319" t="str">
        <f t="shared" ca="1" si="28"/>
        <v>1Q2021</v>
      </c>
      <c r="D319" vm="632">
        <f ca="1"/>
        <v>44405</v>
      </c>
      <c r="E319" vm="633">
        <f ca="1"/>
        <v>19.503</v>
      </c>
      <c r="F319" s="3">
        <f t="shared" ca="1" si="29"/>
        <v>7.6725521669341892E-2</v>
      </c>
      <c r="G319" s="3">
        <f t="shared" ca="1" si="30"/>
        <v>0.7532102728731942</v>
      </c>
      <c r="H319" s="3">
        <f t="shared" ca="1" si="31"/>
        <v>0.22716693418940609</v>
      </c>
      <c r="I319" s="3">
        <f t="shared" ca="1" si="32"/>
        <v>63.547955020920504</v>
      </c>
      <c r="J319" s="3">
        <f t="shared" ca="1" si="33"/>
        <v>6.4732919552477357</v>
      </c>
      <c r="K319" s="3">
        <f t="shared" ca="1" si="34"/>
        <v>21.46329093799682</v>
      </c>
    </row>
    <row r="320" spans="3:11" x14ac:dyDescent="0.35">
      <c r="C320" t="str">
        <f t="shared" ca="1" si="28"/>
        <v>1Q2021</v>
      </c>
      <c r="D320" vm="634">
        <f ca="1"/>
        <v>44406</v>
      </c>
      <c r="E320" vm="635">
        <f ca="1"/>
        <v>19.661999999999999</v>
      </c>
      <c r="F320" s="3">
        <f t="shared" ca="1" si="29"/>
        <v>7.6725521669341892E-2</v>
      </c>
      <c r="G320" s="3">
        <f t="shared" ca="1" si="30"/>
        <v>0.7532102728731942</v>
      </c>
      <c r="H320" s="3">
        <f t="shared" ca="1" si="31"/>
        <v>0.22716693418940609</v>
      </c>
      <c r="I320" s="3">
        <f t="shared" ca="1" si="32"/>
        <v>64.06603556485355</v>
      </c>
      <c r="J320" s="3">
        <f t="shared" ca="1" si="33"/>
        <v>6.5260660628662759</v>
      </c>
      <c r="K320" s="3">
        <f t="shared" ca="1" si="34"/>
        <v>21.638272390037095</v>
      </c>
    </row>
    <row r="321" spans="3:11" x14ac:dyDescent="0.35">
      <c r="C321" t="str">
        <f t="shared" ca="1" si="28"/>
        <v>1Q2021</v>
      </c>
      <c r="D321" vm="636">
        <f ca="1"/>
        <v>44407</v>
      </c>
      <c r="E321" vm="637">
        <f ca="1"/>
        <v>19.498999999999999</v>
      </c>
      <c r="F321" s="3">
        <f t="shared" ca="1" si="29"/>
        <v>7.6725521669341892E-2</v>
      </c>
      <c r="G321" s="3">
        <f t="shared" ca="1" si="30"/>
        <v>0.7532102728731942</v>
      </c>
      <c r="H321" s="3">
        <f t="shared" ca="1" si="31"/>
        <v>0.22716693418940609</v>
      </c>
      <c r="I321" s="3">
        <f t="shared" ca="1" si="32"/>
        <v>63.534921548117154</v>
      </c>
      <c r="J321" s="3">
        <f t="shared" ca="1" si="33"/>
        <v>6.4719643047416087</v>
      </c>
      <c r="K321" s="3">
        <f t="shared" ca="1" si="34"/>
        <v>21.45888888888889</v>
      </c>
    </row>
    <row r="322" spans="3:11" x14ac:dyDescent="0.35">
      <c r="C322" t="str">
        <f t="shared" ca="1" si="28"/>
        <v>2Q2021</v>
      </c>
      <c r="D322" vm="638">
        <f ca="1"/>
        <v>44410</v>
      </c>
      <c r="E322" vm="639">
        <f ca="1"/>
        <v>19.75</v>
      </c>
      <c r="F322" s="3">
        <f t="shared" ca="1" si="29"/>
        <v>9.5112179487179482E-2</v>
      </c>
      <c r="G322" s="3">
        <f t="shared" ca="1" si="30"/>
        <v>0.84735576923076927</v>
      </c>
      <c r="H322" s="3">
        <f t="shared" ca="1" si="31"/>
        <v>0.26069711538461537</v>
      </c>
      <c r="I322" s="3">
        <f t="shared" ca="1" si="32"/>
        <v>51.912384161752321</v>
      </c>
      <c r="J322" s="3">
        <f t="shared" ca="1" si="33"/>
        <v>5.8269503546099291</v>
      </c>
      <c r="K322" s="3">
        <f t="shared" ca="1" si="34"/>
        <v>18.939603503918857</v>
      </c>
    </row>
    <row r="323" spans="3:11" x14ac:dyDescent="0.35">
      <c r="C323" t="str">
        <f t="shared" ref="C323:C386" ca="1" si="35">LOOKUP(D323,$N$2:$N$27,$M$2:$M$27)</f>
        <v>2Q2021</v>
      </c>
      <c r="D323" vm="640">
        <f ca="1"/>
        <v>44411</v>
      </c>
      <c r="E323" vm="641">
        <f ca="1"/>
        <v>19.815000000000001</v>
      </c>
      <c r="F323" s="3">
        <f t="shared" ca="1" si="29"/>
        <v>9.5112179487179482E-2</v>
      </c>
      <c r="G323" s="3">
        <f t="shared" ca="1" si="30"/>
        <v>0.84735576923076927</v>
      </c>
      <c r="H323" s="3">
        <f t="shared" ca="1" si="31"/>
        <v>0.26069711538461537</v>
      </c>
      <c r="I323" s="3">
        <f t="shared" ca="1" si="32"/>
        <v>52.083235046335304</v>
      </c>
      <c r="J323" s="3">
        <f t="shared" ca="1" si="33"/>
        <v>5.846127659574468</v>
      </c>
      <c r="K323" s="3">
        <f t="shared" ca="1" si="34"/>
        <v>19.001936376210239</v>
      </c>
    </row>
    <row r="324" spans="3:11" x14ac:dyDescent="0.35">
      <c r="C324" t="str">
        <f t="shared" ca="1" si="35"/>
        <v>2Q2021</v>
      </c>
      <c r="D324" vm="642">
        <f ca="1"/>
        <v>44412</v>
      </c>
      <c r="E324" vm="643">
        <f ca="1"/>
        <v>20.274000000000001</v>
      </c>
      <c r="F324" s="3">
        <f t="shared" ref="F324:F387" ca="1" si="36">VLOOKUP($C324,$M$2:$R$27,4,0)/VLOOKUP($C324,$M$2:$R$27,3,0)</f>
        <v>9.5112179487179482E-2</v>
      </c>
      <c r="G324" s="3">
        <f t="shared" ref="G324:G387" ca="1" si="37">VLOOKUP($C324,$M$2:$R$27,6,0)/VLOOKUP($C324,$M$2:$R$27,3,0)</f>
        <v>0.84735576923076927</v>
      </c>
      <c r="H324" s="3">
        <f t="shared" ref="H324:H387" ca="1" si="38">VLOOKUP($C324,$M$2:$R$27,5,0)/VLOOKUP($C324,$M$2:$R$27,3,0)</f>
        <v>0.26069711538461537</v>
      </c>
      <c r="I324" s="3">
        <f t="shared" ref="I324:I387" ca="1" si="39">$E324/(F324*4)</f>
        <v>53.289705139005903</v>
      </c>
      <c r="J324" s="3">
        <f t="shared" ref="J324:J387" ca="1" si="40">$E324/(G324*4)</f>
        <v>5.9815489361702125</v>
      </c>
      <c r="K324" s="3">
        <f t="shared" ref="K324:K387" ca="1" si="41">$E324/(H324*4)</f>
        <v>19.44210235131397</v>
      </c>
    </row>
    <row r="325" spans="3:11" x14ac:dyDescent="0.35">
      <c r="C325" t="str">
        <f t="shared" ca="1" si="35"/>
        <v>2Q2021</v>
      </c>
      <c r="D325" vm="644">
        <f ca="1"/>
        <v>44413</v>
      </c>
      <c r="E325" vm="645">
        <f ca="1"/>
        <v>20.637</v>
      </c>
      <c r="F325" s="3">
        <f t="shared" ca="1" si="36"/>
        <v>9.5112179487179482E-2</v>
      </c>
      <c r="G325" s="3">
        <f t="shared" ca="1" si="37"/>
        <v>0.84735576923076927</v>
      </c>
      <c r="H325" s="3">
        <f t="shared" ca="1" si="38"/>
        <v>0.26069711538461537</v>
      </c>
      <c r="I325" s="3">
        <f t="shared" ca="1" si="39"/>
        <v>54.243841617523174</v>
      </c>
      <c r="J325" s="3">
        <f t="shared" ca="1" si="40"/>
        <v>6.0886468085106378</v>
      </c>
      <c r="K325" s="3">
        <f t="shared" ca="1" si="41"/>
        <v>19.790207468879668</v>
      </c>
    </row>
    <row r="326" spans="3:11" x14ac:dyDescent="0.35">
      <c r="C326" t="str">
        <f t="shared" ca="1" si="35"/>
        <v>2Q2021</v>
      </c>
      <c r="D326" vm="646">
        <f ca="1"/>
        <v>44414</v>
      </c>
      <c r="E326" vm="647">
        <f ca="1"/>
        <v>20.366</v>
      </c>
      <c r="F326" s="3">
        <f t="shared" ca="1" si="36"/>
        <v>9.5112179487179482E-2</v>
      </c>
      <c r="G326" s="3">
        <f t="shared" ca="1" si="37"/>
        <v>0.84735576923076927</v>
      </c>
      <c r="H326" s="3">
        <f t="shared" ca="1" si="38"/>
        <v>0.26069711538461537</v>
      </c>
      <c r="I326" s="3">
        <f t="shared" ca="1" si="39"/>
        <v>53.531524852569504</v>
      </c>
      <c r="J326" s="3">
        <f t="shared" ca="1" si="40"/>
        <v>6.00869219858156</v>
      </c>
      <c r="K326" s="3">
        <f t="shared" ca="1" si="41"/>
        <v>19.53032733978792</v>
      </c>
    </row>
    <row r="327" spans="3:11" x14ac:dyDescent="0.35">
      <c r="C327" t="str">
        <f t="shared" ca="1" si="35"/>
        <v>2Q2021</v>
      </c>
      <c r="D327" vm="648">
        <f ca="1"/>
        <v>44417</v>
      </c>
      <c r="E327" vm="649">
        <f ca="1"/>
        <v>20.295000000000002</v>
      </c>
      <c r="F327" s="3">
        <f t="shared" ca="1" si="36"/>
        <v>9.5112179487179482E-2</v>
      </c>
      <c r="G327" s="3">
        <f t="shared" ca="1" si="37"/>
        <v>0.84735576923076927</v>
      </c>
      <c r="H327" s="3">
        <f t="shared" ca="1" si="38"/>
        <v>0.26069711538461537</v>
      </c>
      <c r="I327" s="3">
        <f t="shared" ca="1" si="39"/>
        <v>53.344903117101943</v>
      </c>
      <c r="J327" s="3">
        <f t="shared" ca="1" si="40"/>
        <v>5.9877446808510637</v>
      </c>
      <c r="K327" s="3">
        <f t="shared" ca="1" si="41"/>
        <v>19.462240663900417</v>
      </c>
    </row>
    <row r="328" spans="3:11" x14ac:dyDescent="0.35">
      <c r="C328" t="str">
        <f t="shared" ca="1" si="35"/>
        <v>2Q2021</v>
      </c>
      <c r="D328" vm="650">
        <f ca="1"/>
        <v>44418</v>
      </c>
      <c r="E328" vm="651">
        <f ca="1"/>
        <v>19.936</v>
      </c>
      <c r="F328" s="3">
        <f t="shared" ca="1" si="36"/>
        <v>9.5112179487179482E-2</v>
      </c>
      <c r="G328" s="3">
        <f t="shared" ca="1" si="37"/>
        <v>0.84735576923076927</v>
      </c>
      <c r="H328" s="3">
        <f t="shared" ca="1" si="38"/>
        <v>0.26069711538461537</v>
      </c>
      <c r="I328" s="3">
        <f t="shared" ca="1" si="39"/>
        <v>52.401280539174394</v>
      </c>
      <c r="J328" s="3">
        <f t="shared" ca="1" si="40"/>
        <v>5.8818269503546095</v>
      </c>
      <c r="K328" s="3">
        <f t="shared" ca="1" si="41"/>
        <v>19.117971415398802</v>
      </c>
    </row>
    <row r="329" spans="3:11" x14ac:dyDescent="0.35">
      <c r="C329" t="str">
        <f t="shared" ca="1" si="35"/>
        <v>2Q2021</v>
      </c>
      <c r="D329" vm="652">
        <f ca="1"/>
        <v>44419</v>
      </c>
      <c r="E329" vm="653">
        <f ca="1"/>
        <v>19.699000000000002</v>
      </c>
      <c r="F329" s="3">
        <f t="shared" ca="1" si="36"/>
        <v>9.5112179487179482E-2</v>
      </c>
      <c r="G329" s="3">
        <f t="shared" ca="1" si="37"/>
        <v>0.84735576923076927</v>
      </c>
      <c r="H329" s="3">
        <f t="shared" ca="1" si="38"/>
        <v>0.26069711538461537</v>
      </c>
      <c r="I329" s="3">
        <f t="shared" ca="1" si="39"/>
        <v>51.778331929233367</v>
      </c>
      <c r="J329" s="3">
        <f t="shared" ca="1" si="40"/>
        <v>5.8119035460992912</v>
      </c>
      <c r="K329" s="3">
        <f t="shared" ca="1" si="41"/>
        <v>18.890696173351778</v>
      </c>
    </row>
    <row r="330" spans="3:11" x14ac:dyDescent="0.35">
      <c r="C330" t="str">
        <f t="shared" ca="1" si="35"/>
        <v>2Q2021</v>
      </c>
      <c r="D330" vm="654">
        <f ca="1"/>
        <v>44420</v>
      </c>
      <c r="E330" vm="655">
        <f ca="1"/>
        <v>19.905000000000001</v>
      </c>
      <c r="F330" s="3">
        <f t="shared" ca="1" si="36"/>
        <v>9.5112179487179482E-2</v>
      </c>
      <c r="G330" s="3">
        <f t="shared" ca="1" si="37"/>
        <v>0.84735576923076927</v>
      </c>
      <c r="H330" s="3">
        <f t="shared" ca="1" si="38"/>
        <v>0.26069711538461537</v>
      </c>
      <c r="I330" s="3">
        <f t="shared" ca="1" si="39"/>
        <v>52.319797809604047</v>
      </c>
      <c r="J330" s="3">
        <f t="shared" ca="1" si="40"/>
        <v>5.87268085106383</v>
      </c>
      <c r="K330" s="3">
        <f t="shared" ca="1" si="41"/>
        <v>19.088243430152147</v>
      </c>
    </row>
    <row r="331" spans="3:11" x14ac:dyDescent="0.35">
      <c r="C331" t="str">
        <f t="shared" ca="1" si="35"/>
        <v>2Q2021</v>
      </c>
      <c r="D331" vm="656">
        <f ca="1"/>
        <v>44421</v>
      </c>
      <c r="E331" vm="657">
        <f ca="1"/>
        <v>20.187999999999999</v>
      </c>
      <c r="F331" s="3">
        <f t="shared" ca="1" si="36"/>
        <v>9.5112179487179482E-2</v>
      </c>
      <c r="G331" s="3">
        <f t="shared" ca="1" si="37"/>
        <v>0.84735576923076927</v>
      </c>
      <c r="H331" s="3">
        <f t="shared" ca="1" si="38"/>
        <v>0.26069711538461537</v>
      </c>
      <c r="I331" s="3">
        <f t="shared" ca="1" si="39"/>
        <v>53.063656276326874</v>
      </c>
      <c r="J331" s="3">
        <f t="shared" ca="1" si="40"/>
        <v>5.9561758865248224</v>
      </c>
      <c r="K331" s="3">
        <f t="shared" ca="1" si="41"/>
        <v>19.359631166436145</v>
      </c>
    </row>
    <row r="332" spans="3:11" x14ac:dyDescent="0.35">
      <c r="C332" t="str">
        <f t="shared" ca="1" si="35"/>
        <v>2Q2021</v>
      </c>
      <c r="D332" vm="658">
        <f ca="1"/>
        <v>44424</v>
      </c>
      <c r="E332" vm="659">
        <f ca="1"/>
        <v>19.95</v>
      </c>
      <c r="F332" s="3">
        <f t="shared" ca="1" si="36"/>
        <v>9.5112179487179482E-2</v>
      </c>
      <c r="G332" s="3">
        <f t="shared" ca="1" si="37"/>
        <v>0.84735576923076927</v>
      </c>
      <c r="H332" s="3">
        <f t="shared" ca="1" si="38"/>
        <v>0.26069711538461537</v>
      </c>
      <c r="I332" s="3">
        <f t="shared" ca="1" si="39"/>
        <v>52.438079191238415</v>
      </c>
      <c r="J332" s="3">
        <f t="shared" ca="1" si="40"/>
        <v>5.8859574468085105</v>
      </c>
      <c r="K332" s="3">
        <f t="shared" ca="1" si="41"/>
        <v>19.131396957123098</v>
      </c>
    </row>
    <row r="333" spans="3:11" x14ac:dyDescent="0.35">
      <c r="C333" t="str">
        <f t="shared" ca="1" si="35"/>
        <v>2Q2021</v>
      </c>
      <c r="D333" vm="660">
        <f ca="1"/>
        <v>44425</v>
      </c>
      <c r="E333" vm="661">
        <f ca="1"/>
        <v>19.457999999999998</v>
      </c>
      <c r="F333" s="3">
        <f t="shared" ca="1" si="36"/>
        <v>9.5112179487179482E-2</v>
      </c>
      <c r="G333" s="3">
        <f t="shared" ca="1" si="37"/>
        <v>0.84735576923076927</v>
      </c>
      <c r="H333" s="3">
        <f t="shared" ca="1" si="38"/>
        <v>0.26069711538461537</v>
      </c>
      <c r="I333" s="3">
        <f t="shared" ca="1" si="39"/>
        <v>51.144869418702612</v>
      </c>
      <c r="J333" s="3">
        <f t="shared" ca="1" si="40"/>
        <v>5.7407999999999992</v>
      </c>
      <c r="K333" s="3">
        <f t="shared" ca="1" si="41"/>
        <v>18.659585062240662</v>
      </c>
    </row>
    <row r="334" spans="3:11" x14ac:dyDescent="0.35">
      <c r="C334" t="str">
        <f t="shared" ca="1" si="35"/>
        <v>2Q2021</v>
      </c>
      <c r="D334" vm="662">
        <f ca="1"/>
        <v>44426</v>
      </c>
      <c r="E334" vm="663">
        <f ca="1"/>
        <v>19.04</v>
      </c>
      <c r="F334" s="3">
        <f t="shared" ca="1" si="36"/>
        <v>9.5112179487179482E-2</v>
      </c>
      <c r="G334" s="3">
        <f t="shared" ca="1" si="37"/>
        <v>0.84735576923076927</v>
      </c>
      <c r="H334" s="3">
        <f t="shared" ca="1" si="38"/>
        <v>0.26069711538461537</v>
      </c>
      <c r="I334" s="3">
        <f t="shared" ca="1" si="39"/>
        <v>50.046166807076666</v>
      </c>
      <c r="J334" s="3">
        <f t="shared" ca="1" si="40"/>
        <v>5.6174751773049643</v>
      </c>
      <c r="K334" s="3">
        <f t="shared" ca="1" si="41"/>
        <v>18.258736745043798</v>
      </c>
    </row>
    <row r="335" spans="3:11" x14ac:dyDescent="0.35">
      <c r="C335" t="str">
        <f t="shared" ca="1" si="35"/>
        <v>2Q2021</v>
      </c>
      <c r="D335" vm="664">
        <f ca="1"/>
        <v>44427</v>
      </c>
      <c r="E335" vm="665">
        <f ca="1"/>
        <v>19.797999999999998</v>
      </c>
      <c r="F335" s="3">
        <f t="shared" ca="1" si="36"/>
        <v>9.5112179487179482E-2</v>
      </c>
      <c r="G335" s="3">
        <f t="shared" ca="1" si="37"/>
        <v>0.84735576923076927</v>
      </c>
      <c r="H335" s="3">
        <f t="shared" ca="1" si="38"/>
        <v>0.26069711538461537</v>
      </c>
      <c r="I335" s="3">
        <f t="shared" ca="1" si="39"/>
        <v>52.038550968828979</v>
      </c>
      <c r="J335" s="3">
        <f t="shared" ca="1" si="40"/>
        <v>5.8411120567375878</v>
      </c>
      <c r="K335" s="3">
        <f t="shared" ca="1" si="41"/>
        <v>18.985633932687875</v>
      </c>
    </row>
    <row r="336" spans="3:11" x14ac:dyDescent="0.35">
      <c r="C336" t="str">
        <f t="shared" ca="1" si="35"/>
        <v>2Q2021</v>
      </c>
      <c r="D336" vm="666">
        <f ca="1"/>
        <v>44428</v>
      </c>
      <c r="E336" vm="667">
        <f ca="1"/>
        <v>20.815999999999999</v>
      </c>
      <c r="F336" s="3">
        <f t="shared" ca="1" si="36"/>
        <v>9.5112179487179482E-2</v>
      </c>
      <c r="G336" s="3">
        <f t="shared" ca="1" si="37"/>
        <v>0.84735576923076927</v>
      </c>
      <c r="H336" s="3">
        <f t="shared" ca="1" si="38"/>
        <v>0.26069711538461537</v>
      </c>
      <c r="I336" s="3">
        <f t="shared" ca="1" si="39"/>
        <v>54.714338668913229</v>
      </c>
      <c r="J336" s="3">
        <f t="shared" ca="1" si="40"/>
        <v>6.1414581560283681</v>
      </c>
      <c r="K336" s="3">
        <f t="shared" ca="1" si="41"/>
        <v>19.961862609497462</v>
      </c>
    </row>
    <row r="337" spans="3:11" x14ac:dyDescent="0.35">
      <c r="C337" t="str">
        <f t="shared" ca="1" si="35"/>
        <v>2Q2021</v>
      </c>
      <c r="D337" vm="668">
        <f ca="1"/>
        <v>44431</v>
      </c>
      <c r="E337" vm="669">
        <f ca="1"/>
        <v>21.957999999999998</v>
      </c>
      <c r="F337" s="3">
        <f t="shared" ca="1" si="36"/>
        <v>9.5112179487179482E-2</v>
      </c>
      <c r="G337" s="3">
        <f t="shared" ca="1" si="37"/>
        <v>0.84735576923076927</v>
      </c>
      <c r="H337" s="3">
        <f t="shared" ca="1" si="38"/>
        <v>0.26069711538461537</v>
      </c>
      <c r="I337" s="3">
        <f t="shared" ca="1" si="39"/>
        <v>57.716057287278851</v>
      </c>
      <c r="J337" s="3">
        <f t="shared" ca="1" si="40"/>
        <v>6.4783886524822689</v>
      </c>
      <c r="K337" s="3">
        <f t="shared" ca="1" si="41"/>
        <v>21.057003227293684</v>
      </c>
    </row>
    <row r="338" spans="3:11" x14ac:dyDescent="0.35">
      <c r="C338" t="str">
        <f t="shared" ca="1" si="35"/>
        <v>2Q2021</v>
      </c>
      <c r="D338" vm="670">
        <f ca="1"/>
        <v>44432</v>
      </c>
      <c r="E338" vm="671">
        <f ca="1"/>
        <v>21.792999999999999</v>
      </c>
      <c r="F338" s="3">
        <f t="shared" ca="1" si="36"/>
        <v>9.5112179487179482E-2</v>
      </c>
      <c r="G338" s="3">
        <f t="shared" ca="1" si="37"/>
        <v>0.84735576923076927</v>
      </c>
      <c r="H338" s="3">
        <f t="shared" ca="1" si="38"/>
        <v>0.26069711538461537</v>
      </c>
      <c r="I338" s="3">
        <f t="shared" ca="1" si="39"/>
        <v>57.282358887952824</v>
      </c>
      <c r="J338" s="3">
        <f t="shared" ca="1" si="40"/>
        <v>6.4297078014184388</v>
      </c>
      <c r="K338" s="3">
        <f t="shared" ca="1" si="41"/>
        <v>20.898773628400185</v>
      </c>
    </row>
    <row r="339" spans="3:11" x14ac:dyDescent="0.35">
      <c r="C339" t="str">
        <f t="shared" ca="1" si="35"/>
        <v>2Q2021</v>
      </c>
      <c r="D339" vm="672">
        <f ca="1"/>
        <v>44433</v>
      </c>
      <c r="E339" vm="673">
        <f ca="1"/>
        <v>22.213000000000001</v>
      </c>
      <c r="F339" s="3">
        <f t="shared" ca="1" si="36"/>
        <v>9.5112179487179482E-2</v>
      </c>
      <c r="G339" s="3">
        <f t="shared" ca="1" si="37"/>
        <v>0.84735576923076927</v>
      </c>
      <c r="H339" s="3">
        <f t="shared" ca="1" si="38"/>
        <v>0.26069711538461537</v>
      </c>
      <c r="I339" s="3">
        <f t="shared" ca="1" si="39"/>
        <v>58.386318449873635</v>
      </c>
      <c r="J339" s="3">
        <f t="shared" ca="1" si="40"/>
        <v>6.553622695035461</v>
      </c>
      <c r="K339" s="3">
        <f t="shared" ca="1" si="41"/>
        <v>21.301539880129095</v>
      </c>
    </row>
    <row r="340" spans="3:11" x14ac:dyDescent="0.35">
      <c r="C340" t="str">
        <f t="shared" ca="1" si="35"/>
        <v>2Q2021</v>
      </c>
      <c r="D340" vm="674">
        <f ca="1"/>
        <v>44434</v>
      </c>
      <c r="E340" vm="675">
        <f ca="1"/>
        <v>22.068000000000001</v>
      </c>
      <c r="F340" s="3">
        <f t="shared" ca="1" si="36"/>
        <v>9.5112179487179482E-2</v>
      </c>
      <c r="G340" s="3">
        <f t="shared" ca="1" si="37"/>
        <v>0.84735576923076927</v>
      </c>
      <c r="H340" s="3">
        <f t="shared" ca="1" si="38"/>
        <v>0.26069711538461537</v>
      </c>
      <c r="I340" s="3">
        <f t="shared" ca="1" si="39"/>
        <v>58.005189553496216</v>
      </c>
      <c r="J340" s="3">
        <f t="shared" ca="1" si="40"/>
        <v>6.5108425531914893</v>
      </c>
      <c r="K340" s="3">
        <f t="shared" ca="1" si="41"/>
        <v>21.16248962655602</v>
      </c>
    </row>
    <row r="341" spans="3:11" x14ac:dyDescent="0.35">
      <c r="C341" t="str">
        <f t="shared" ca="1" si="35"/>
        <v>2Q2021</v>
      </c>
      <c r="D341" vm="676">
        <f ca="1"/>
        <v>44435</v>
      </c>
      <c r="E341" vm="677">
        <f ca="1"/>
        <v>22.635999999999999</v>
      </c>
      <c r="F341" s="3">
        <f t="shared" ca="1" si="36"/>
        <v>9.5112179487179482E-2</v>
      </c>
      <c r="G341" s="3">
        <f t="shared" ca="1" si="37"/>
        <v>0.84735576923076927</v>
      </c>
      <c r="H341" s="3">
        <f t="shared" ca="1" si="38"/>
        <v>0.26069711538461537</v>
      </c>
      <c r="I341" s="3">
        <f t="shared" ca="1" si="39"/>
        <v>59.498163437236734</v>
      </c>
      <c r="J341" s="3">
        <f t="shared" ca="1" si="40"/>
        <v>6.6784226950354606</v>
      </c>
      <c r="K341" s="3">
        <f t="shared" ca="1" si="41"/>
        <v>21.707183033656062</v>
      </c>
    </row>
    <row r="342" spans="3:11" x14ac:dyDescent="0.35">
      <c r="C342" t="str">
        <f t="shared" ca="1" si="35"/>
        <v>2Q2021</v>
      </c>
      <c r="D342" vm="678">
        <f ca="1"/>
        <v>44438</v>
      </c>
      <c r="E342" vm="679">
        <f ca="1"/>
        <v>22.687999999999999</v>
      </c>
      <c r="F342" s="3">
        <f t="shared" ca="1" si="36"/>
        <v>9.5112179487179482E-2</v>
      </c>
      <c r="G342" s="3">
        <f t="shared" ca="1" si="37"/>
        <v>0.84735576923076927</v>
      </c>
      <c r="H342" s="3">
        <f t="shared" ca="1" si="38"/>
        <v>0.26069711538461537</v>
      </c>
      <c r="I342" s="3">
        <f t="shared" ca="1" si="39"/>
        <v>59.63484414490312</v>
      </c>
      <c r="J342" s="3">
        <f t="shared" ca="1" si="40"/>
        <v>6.6937645390070912</v>
      </c>
      <c r="K342" s="3">
        <f t="shared" ca="1" si="41"/>
        <v>21.757049331489164</v>
      </c>
    </row>
    <row r="343" spans="3:11" x14ac:dyDescent="0.35">
      <c r="C343" t="str">
        <f t="shared" ca="1" si="35"/>
        <v>2Q2021</v>
      </c>
      <c r="D343" vm="680">
        <f ca="1"/>
        <v>44439</v>
      </c>
      <c r="E343" vm="681">
        <f ca="1"/>
        <v>22.385000000000002</v>
      </c>
      <c r="F343" s="3">
        <f t="shared" ca="1" si="36"/>
        <v>9.5112179487179482E-2</v>
      </c>
      <c r="G343" s="3">
        <f t="shared" ca="1" si="37"/>
        <v>0.84735576923076927</v>
      </c>
      <c r="H343" s="3">
        <f t="shared" ca="1" si="38"/>
        <v>0.26069711538461537</v>
      </c>
      <c r="I343" s="3">
        <f t="shared" ca="1" si="39"/>
        <v>58.838416175231686</v>
      </c>
      <c r="J343" s="3">
        <f t="shared" ca="1" si="40"/>
        <v>6.6043687943262412</v>
      </c>
      <c r="K343" s="3">
        <f t="shared" ca="1" si="41"/>
        <v>21.466482249884741</v>
      </c>
    </row>
    <row r="344" spans="3:11" x14ac:dyDescent="0.35">
      <c r="C344" t="str">
        <f t="shared" ca="1" si="35"/>
        <v>2Q2021</v>
      </c>
      <c r="D344" vm="682">
        <f ca="1"/>
        <v>44440</v>
      </c>
      <c r="E344" vm="683">
        <f ca="1"/>
        <v>22.440999999999999</v>
      </c>
      <c r="F344" s="3">
        <f t="shared" ca="1" si="36"/>
        <v>9.5112179487179482E-2</v>
      </c>
      <c r="G344" s="3">
        <f t="shared" ca="1" si="37"/>
        <v>0.84735576923076927</v>
      </c>
      <c r="H344" s="3">
        <f t="shared" ca="1" si="38"/>
        <v>0.26069711538461537</v>
      </c>
      <c r="I344" s="3">
        <f t="shared" ca="1" si="39"/>
        <v>58.985610783487786</v>
      </c>
      <c r="J344" s="3">
        <f t="shared" ca="1" si="40"/>
        <v>6.6208907801418437</v>
      </c>
      <c r="K344" s="3">
        <f t="shared" ca="1" si="41"/>
        <v>21.520184416781927</v>
      </c>
    </row>
    <row r="345" spans="3:11" x14ac:dyDescent="0.35">
      <c r="C345" t="str">
        <f t="shared" ca="1" si="35"/>
        <v>2Q2021</v>
      </c>
      <c r="D345" vm="684">
        <f ca="1"/>
        <v>44441</v>
      </c>
      <c r="E345" vm="685">
        <f ca="1"/>
        <v>22.396000000000001</v>
      </c>
      <c r="F345" s="3">
        <f t="shared" ca="1" si="36"/>
        <v>9.5112179487179482E-2</v>
      </c>
      <c r="G345" s="3">
        <f t="shared" ca="1" si="37"/>
        <v>0.84735576923076927</v>
      </c>
      <c r="H345" s="3">
        <f t="shared" ca="1" si="38"/>
        <v>0.26069711538461537</v>
      </c>
      <c r="I345" s="3">
        <f t="shared" ca="1" si="39"/>
        <v>58.867329401853418</v>
      </c>
      <c r="J345" s="3">
        <f t="shared" ca="1" si="40"/>
        <v>6.6076141843971632</v>
      </c>
      <c r="K345" s="3">
        <f t="shared" ca="1" si="41"/>
        <v>21.477030889810976</v>
      </c>
    </row>
    <row r="346" spans="3:11" x14ac:dyDescent="0.35">
      <c r="C346" t="str">
        <f t="shared" ca="1" si="35"/>
        <v>2Q2021</v>
      </c>
      <c r="D346" vm="686">
        <f ca="1"/>
        <v>44442</v>
      </c>
      <c r="E346" vm="687">
        <f ca="1"/>
        <v>22.843</v>
      </c>
      <c r="F346" s="3">
        <f t="shared" ca="1" si="36"/>
        <v>9.5112179487179482E-2</v>
      </c>
      <c r="G346" s="3">
        <f t="shared" ca="1" si="37"/>
        <v>0.84735576923076927</v>
      </c>
      <c r="H346" s="3">
        <f t="shared" ca="1" si="38"/>
        <v>0.26069711538461537</v>
      </c>
      <c r="I346" s="3">
        <f t="shared" ca="1" si="39"/>
        <v>60.042257792754846</v>
      </c>
      <c r="J346" s="3">
        <f t="shared" ca="1" si="40"/>
        <v>6.7394950354609922</v>
      </c>
      <c r="K346" s="3">
        <f t="shared" ca="1" si="41"/>
        <v>21.905689257722454</v>
      </c>
    </row>
    <row r="347" spans="3:11" x14ac:dyDescent="0.35">
      <c r="C347" t="str">
        <f t="shared" ca="1" si="35"/>
        <v>2Q2021</v>
      </c>
      <c r="D347" vm="688">
        <f ca="1"/>
        <v>44446</v>
      </c>
      <c r="E347" vm="689">
        <f ca="1"/>
        <v>22.661999999999999</v>
      </c>
      <c r="F347" s="3">
        <f t="shared" ca="1" si="36"/>
        <v>9.5112179487179482E-2</v>
      </c>
      <c r="G347" s="3">
        <f t="shared" ca="1" si="37"/>
        <v>0.84735576923076927</v>
      </c>
      <c r="H347" s="3">
        <f t="shared" ca="1" si="38"/>
        <v>0.26069711538461537</v>
      </c>
      <c r="I347" s="3">
        <f t="shared" ca="1" si="39"/>
        <v>59.566503791069927</v>
      </c>
      <c r="J347" s="3">
        <f t="shared" ca="1" si="40"/>
        <v>6.6860936170212764</v>
      </c>
      <c r="K347" s="3">
        <f t="shared" ca="1" si="41"/>
        <v>21.732116182572614</v>
      </c>
    </row>
    <row r="348" spans="3:11" x14ac:dyDescent="0.35">
      <c r="C348" t="str">
        <f t="shared" ca="1" si="35"/>
        <v>2Q2021</v>
      </c>
      <c r="D348" vm="690">
        <f ca="1"/>
        <v>44447</v>
      </c>
      <c r="E348" vm="691">
        <f ca="1"/>
        <v>22.338999999999999</v>
      </c>
      <c r="F348" s="3">
        <f t="shared" ca="1" si="36"/>
        <v>9.5112179487179482E-2</v>
      </c>
      <c r="G348" s="3">
        <f t="shared" ca="1" si="37"/>
        <v>0.84735576923076927</v>
      </c>
      <c r="H348" s="3">
        <f t="shared" ca="1" si="38"/>
        <v>0.26069711538461537</v>
      </c>
      <c r="I348" s="3">
        <f t="shared" ca="1" si="39"/>
        <v>58.717506318449871</v>
      </c>
      <c r="J348" s="3">
        <f t="shared" ca="1" si="40"/>
        <v>6.5907971631205671</v>
      </c>
      <c r="K348" s="3">
        <f t="shared" ca="1" si="41"/>
        <v>21.422369755647765</v>
      </c>
    </row>
    <row r="349" spans="3:11" x14ac:dyDescent="0.35">
      <c r="C349" t="str">
        <f t="shared" ca="1" si="35"/>
        <v>2Q2021</v>
      </c>
      <c r="D349" vm="692">
        <f ca="1"/>
        <v>44448</v>
      </c>
      <c r="E349" vm="693">
        <f ca="1"/>
        <v>22.177</v>
      </c>
      <c r="F349" s="3">
        <f t="shared" ca="1" si="36"/>
        <v>9.5112179487179482E-2</v>
      </c>
      <c r="G349" s="3">
        <f t="shared" ca="1" si="37"/>
        <v>0.84735576923076927</v>
      </c>
      <c r="H349" s="3">
        <f t="shared" ca="1" si="38"/>
        <v>0.26069711538461537</v>
      </c>
      <c r="I349" s="3">
        <f t="shared" ca="1" si="39"/>
        <v>58.291693344566134</v>
      </c>
      <c r="J349" s="3">
        <f t="shared" ca="1" si="40"/>
        <v>6.5430014184397161</v>
      </c>
      <c r="K349" s="3">
        <f t="shared" ca="1" si="41"/>
        <v>21.26701705855233</v>
      </c>
    </row>
    <row r="350" spans="3:11" x14ac:dyDescent="0.35">
      <c r="C350" t="str">
        <f t="shared" ca="1" si="35"/>
        <v>2Q2021</v>
      </c>
      <c r="D350" vm="694">
        <f ca="1"/>
        <v>44449</v>
      </c>
      <c r="E350" vm="695">
        <f ca="1"/>
        <v>22.478000000000002</v>
      </c>
      <c r="F350" s="3">
        <f t="shared" ca="1" si="36"/>
        <v>9.5112179487179482E-2</v>
      </c>
      <c r="G350" s="3">
        <f t="shared" ca="1" si="37"/>
        <v>0.84735576923076927</v>
      </c>
      <c r="H350" s="3">
        <f t="shared" ca="1" si="38"/>
        <v>0.26069711538461537</v>
      </c>
      <c r="I350" s="3">
        <f t="shared" ca="1" si="39"/>
        <v>59.082864363942718</v>
      </c>
      <c r="J350" s="3">
        <f t="shared" ca="1" si="40"/>
        <v>6.6318070921985814</v>
      </c>
      <c r="K350" s="3">
        <f t="shared" ca="1" si="41"/>
        <v>21.555666205624714</v>
      </c>
    </row>
    <row r="351" spans="3:11" x14ac:dyDescent="0.35">
      <c r="C351" t="str">
        <f t="shared" ca="1" si="35"/>
        <v>2Q2021</v>
      </c>
      <c r="D351" vm="696">
        <f ca="1"/>
        <v>44452</v>
      </c>
      <c r="E351" vm="697">
        <f ca="1"/>
        <v>22.152000000000001</v>
      </c>
      <c r="F351" s="3">
        <f t="shared" ca="1" si="36"/>
        <v>9.5112179487179482E-2</v>
      </c>
      <c r="G351" s="3">
        <f t="shared" ca="1" si="37"/>
        <v>0.84735576923076927</v>
      </c>
      <c r="H351" s="3">
        <f t="shared" ca="1" si="38"/>
        <v>0.26069711538461537</v>
      </c>
      <c r="I351" s="3">
        <f t="shared" ca="1" si="39"/>
        <v>58.225981465880373</v>
      </c>
      <c r="J351" s="3">
        <f t="shared" ca="1" si="40"/>
        <v>6.5356255319148939</v>
      </c>
      <c r="K351" s="3">
        <f t="shared" ca="1" si="41"/>
        <v>21.2430428769018</v>
      </c>
    </row>
    <row r="352" spans="3:11" x14ac:dyDescent="0.35">
      <c r="C352" t="str">
        <f t="shared" ca="1" si="35"/>
        <v>2Q2021</v>
      </c>
      <c r="D352" vm="698">
        <f ca="1"/>
        <v>44453</v>
      </c>
      <c r="E352" vm="699">
        <f ca="1"/>
        <v>22.242000000000001</v>
      </c>
      <c r="F352" s="3">
        <f t="shared" ca="1" si="36"/>
        <v>9.5112179487179482E-2</v>
      </c>
      <c r="G352" s="3">
        <f t="shared" ca="1" si="37"/>
        <v>0.84735576923076927</v>
      </c>
      <c r="H352" s="3">
        <f t="shared" ca="1" si="38"/>
        <v>0.26069711538461537</v>
      </c>
      <c r="I352" s="3">
        <f t="shared" ca="1" si="39"/>
        <v>58.462544229149124</v>
      </c>
      <c r="J352" s="3">
        <f t="shared" ca="1" si="40"/>
        <v>6.562178723404255</v>
      </c>
      <c r="K352" s="3">
        <f t="shared" ca="1" si="41"/>
        <v>21.329349930843708</v>
      </c>
    </row>
    <row r="353" spans="3:11" x14ac:dyDescent="0.35">
      <c r="C353" t="str">
        <f t="shared" ca="1" si="35"/>
        <v>2Q2021</v>
      </c>
      <c r="D353" vm="700">
        <f ca="1"/>
        <v>44454</v>
      </c>
      <c r="E353" vm="701">
        <f ca="1"/>
        <v>22.341000000000001</v>
      </c>
      <c r="F353" s="3">
        <f t="shared" ca="1" si="36"/>
        <v>9.5112179487179482E-2</v>
      </c>
      <c r="G353" s="3">
        <f t="shared" ca="1" si="37"/>
        <v>0.84735576923076927</v>
      </c>
      <c r="H353" s="3">
        <f t="shared" ca="1" si="38"/>
        <v>0.26069711538461537</v>
      </c>
      <c r="I353" s="3">
        <f t="shared" ca="1" si="39"/>
        <v>58.722763268744743</v>
      </c>
      <c r="J353" s="3">
        <f t="shared" ca="1" si="40"/>
        <v>6.5913872340425534</v>
      </c>
      <c r="K353" s="3">
        <f t="shared" ca="1" si="41"/>
        <v>21.42428769017981</v>
      </c>
    </row>
    <row r="354" spans="3:11" x14ac:dyDescent="0.35">
      <c r="C354" t="str">
        <f t="shared" ca="1" si="35"/>
        <v>2Q2021</v>
      </c>
      <c r="D354" vm="702">
        <f ca="1"/>
        <v>44455</v>
      </c>
      <c r="E354" vm="699">
        <f ca="1"/>
        <v>22.242000000000001</v>
      </c>
      <c r="F354" s="3">
        <f t="shared" ca="1" si="36"/>
        <v>9.5112179487179482E-2</v>
      </c>
      <c r="G354" s="3">
        <f t="shared" ca="1" si="37"/>
        <v>0.84735576923076927</v>
      </c>
      <c r="H354" s="3">
        <f t="shared" ca="1" si="38"/>
        <v>0.26069711538461537</v>
      </c>
      <c r="I354" s="3">
        <f t="shared" ca="1" si="39"/>
        <v>58.462544229149124</v>
      </c>
      <c r="J354" s="3">
        <f t="shared" ca="1" si="40"/>
        <v>6.562178723404255</v>
      </c>
      <c r="K354" s="3">
        <f t="shared" ca="1" si="41"/>
        <v>21.329349930843708</v>
      </c>
    </row>
    <row r="355" spans="3:11" x14ac:dyDescent="0.35">
      <c r="C355" t="str">
        <f t="shared" ca="1" si="35"/>
        <v>2Q2021</v>
      </c>
      <c r="D355" vm="703">
        <f ca="1"/>
        <v>44456</v>
      </c>
      <c r="E355" vm="704">
        <f ca="1"/>
        <v>21.9</v>
      </c>
      <c r="F355" s="3">
        <f t="shared" ca="1" si="36"/>
        <v>9.5112179487179482E-2</v>
      </c>
      <c r="G355" s="3">
        <f t="shared" ca="1" si="37"/>
        <v>0.84735576923076927</v>
      </c>
      <c r="H355" s="3">
        <f t="shared" ca="1" si="38"/>
        <v>0.26069711538461537</v>
      </c>
      <c r="I355" s="3">
        <f t="shared" ca="1" si="39"/>
        <v>57.563605728727886</v>
      </c>
      <c r="J355" s="3">
        <f t="shared" ca="1" si="40"/>
        <v>6.4612765957446801</v>
      </c>
      <c r="K355" s="3">
        <f t="shared" ca="1" si="41"/>
        <v>21.001383125864454</v>
      </c>
    </row>
    <row r="356" spans="3:11" x14ac:dyDescent="0.35">
      <c r="C356" t="str">
        <f t="shared" ca="1" si="35"/>
        <v>2Q2021</v>
      </c>
      <c r="D356" vm="705">
        <f ca="1"/>
        <v>44459</v>
      </c>
      <c r="E356" vm="706">
        <f ca="1"/>
        <v>21.113</v>
      </c>
      <c r="F356" s="3">
        <f t="shared" ca="1" si="36"/>
        <v>9.5112179487179482E-2</v>
      </c>
      <c r="G356" s="3">
        <f t="shared" ca="1" si="37"/>
        <v>0.84735576923076927</v>
      </c>
      <c r="H356" s="3">
        <f t="shared" ca="1" si="38"/>
        <v>0.26069711538461537</v>
      </c>
      <c r="I356" s="3">
        <f t="shared" ca="1" si="39"/>
        <v>55.494995787700084</v>
      </c>
      <c r="J356" s="3">
        <f t="shared" ca="1" si="40"/>
        <v>6.2290836879432616</v>
      </c>
      <c r="K356" s="3">
        <f t="shared" ca="1" si="41"/>
        <v>20.246675887505763</v>
      </c>
    </row>
    <row r="357" spans="3:11" x14ac:dyDescent="0.35">
      <c r="C357" t="str">
        <f t="shared" ca="1" si="35"/>
        <v>2Q2021</v>
      </c>
      <c r="D357" vm="707">
        <f ca="1"/>
        <v>44460</v>
      </c>
      <c r="E357" vm="708">
        <f ca="1"/>
        <v>21.245999999999999</v>
      </c>
      <c r="F357" s="3">
        <f t="shared" ca="1" si="36"/>
        <v>9.5112179487179482E-2</v>
      </c>
      <c r="G357" s="3">
        <f t="shared" ca="1" si="37"/>
        <v>0.84735576923076927</v>
      </c>
      <c r="H357" s="3">
        <f t="shared" ca="1" si="38"/>
        <v>0.26069711538461537</v>
      </c>
      <c r="I357" s="3">
        <f t="shared" ca="1" si="39"/>
        <v>55.844582982308339</v>
      </c>
      <c r="J357" s="3">
        <f t="shared" ca="1" si="40"/>
        <v>6.2683234042553186</v>
      </c>
      <c r="K357" s="3">
        <f t="shared" ca="1" si="41"/>
        <v>20.374218533886584</v>
      </c>
    </row>
    <row r="358" spans="3:11" x14ac:dyDescent="0.35">
      <c r="C358" t="str">
        <f t="shared" ca="1" si="35"/>
        <v>2Q2021</v>
      </c>
      <c r="D358" vm="709">
        <f ca="1"/>
        <v>44461</v>
      </c>
      <c r="E358" vm="710">
        <f ca="1"/>
        <v>21.940999999999999</v>
      </c>
      <c r="F358" s="3">
        <f t="shared" ca="1" si="36"/>
        <v>9.5112179487179482E-2</v>
      </c>
      <c r="G358" s="3">
        <f t="shared" ca="1" si="37"/>
        <v>0.84735576923076927</v>
      </c>
      <c r="H358" s="3">
        <f t="shared" ca="1" si="38"/>
        <v>0.26069711538461537</v>
      </c>
      <c r="I358" s="3">
        <f t="shared" ca="1" si="39"/>
        <v>57.671373209772533</v>
      </c>
      <c r="J358" s="3">
        <f t="shared" ca="1" si="40"/>
        <v>6.4733730496453896</v>
      </c>
      <c r="K358" s="3">
        <f t="shared" ca="1" si="41"/>
        <v>21.040700783771324</v>
      </c>
    </row>
    <row r="359" spans="3:11" x14ac:dyDescent="0.35">
      <c r="C359" t="str">
        <f t="shared" ca="1" si="35"/>
        <v>2Q2021</v>
      </c>
      <c r="D359" vm="711">
        <f ca="1"/>
        <v>44462</v>
      </c>
      <c r="E359" vm="712">
        <f ca="1"/>
        <v>22.481999999999999</v>
      </c>
      <c r="F359" s="3">
        <f t="shared" ca="1" si="36"/>
        <v>9.5112179487179482E-2</v>
      </c>
      <c r="G359" s="3">
        <f t="shared" ca="1" si="37"/>
        <v>0.84735576923076927</v>
      </c>
      <c r="H359" s="3">
        <f t="shared" ca="1" si="38"/>
        <v>0.26069711538461537</v>
      </c>
      <c r="I359" s="3">
        <f t="shared" ca="1" si="39"/>
        <v>59.093378264532433</v>
      </c>
      <c r="J359" s="3">
        <f t="shared" ca="1" si="40"/>
        <v>6.6329872340425524</v>
      </c>
      <c r="K359" s="3">
        <f t="shared" ca="1" si="41"/>
        <v>21.559502074688798</v>
      </c>
    </row>
    <row r="360" spans="3:11" x14ac:dyDescent="0.35">
      <c r="C360" t="str">
        <f t="shared" ca="1" si="35"/>
        <v>2Q2021</v>
      </c>
      <c r="D360" vm="713">
        <f ca="1"/>
        <v>44463</v>
      </c>
      <c r="E360" vm="714">
        <f ca="1"/>
        <v>22.081</v>
      </c>
      <c r="F360" s="3">
        <f t="shared" ca="1" si="36"/>
        <v>9.5112179487179482E-2</v>
      </c>
      <c r="G360" s="3">
        <f t="shared" ca="1" si="37"/>
        <v>0.84735576923076927</v>
      </c>
      <c r="H360" s="3">
        <f t="shared" ca="1" si="38"/>
        <v>0.26069711538461537</v>
      </c>
      <c r="I360" s="3">
        <f t="shared" ca="1" si="39"/>
        <v>58.039359730412805</v>
      </c>
      <c r="J360" s="3">
        <f t="shared" ca="1" si="40"/>
        <v>6.5146780141843967</v>
      </c>
      <c r="K360" s="3">
        <f t="shared" ca="1" si="41"/>
        <v>21.174956201014293</v>
      </c>
    </row>
    <row r="361" spans="3:11" x14ac:dyDescent="0.35">
      <c r="C361" t="str">
        <f t="shared" ca="1" si="35"/>
        <v>2Q2021</v>
      </c>
      <c r="D361" vm="715">
        <f ca="1"/>
        <v>44466</v>
      </c>
      <c r="E361" vm="716">
        <f ca="1"/>
        <v>21.66</v>
      </c>
      <c r="F361" s="3">
        <f t="shared" ca="1" si="36"/>
        <v>9.5112179487179482E-2</v>
      </c>
      <c r="G361" s="3">
        <f t="shared" ca="1" si="37"/>
        <v>0.84735576923076927</v>
      </c>
      <c r="H361" s="3">
        <f t="shared" ca="1" si="38"/>
        <v>0.26069711538461537</v>
      </c>
      <c r="I361" s="3">
        <f t="shared" ca="1" si="39"/>
        <v>56.93277169334457</v>
      </c>
      <c r="J361" s="3">
        <f t="shared" ca="1" si="40"/>
        <v>6.3904680851063826</v>
      </c>
      <c r="K361" s="3">
        <f t="shared" ca="1" si="41"/>
        <v>20.771230982019365</v>
      </c>
    </row>
    <row r="362" spans="3:11" x14ac:dyDescent="0.35">
      <c r="C362" t="str">
        <f t="shared" ca="1" si="35"/>
        <v>2Q2021</v>
      </c>
      <c r="D362" vm="717">
        <f ca="1"/>
        <v>44467</v>
      </c>
      <c r="E362" vm="718">
        <f ca="1"/>
        <v>20.699000000000002</v>
      </c>
      <c r="F362" s="3">
        <f t="shared" ca="1" si="36"/>
        <v>9.5112179487179482E-2</v>
      </c>
      <c r="G362" s="3">
        <f t="shared" ca="1" si="37"/>
        <v>0.84735576923076927</v>
      </c>
      <c r="H362" s="3">
        <f t="shared" ca="1" si="38"/>
        <v>0.26069711538461537</v>
      </c>
      <c r="I362" s="3">
        <f t="shared" ca="1" si="39"/>
        <v>54.406807076663867</v>
      </c>
      <c r="J362" s="3">
        <f t="shared" ca="1" si="40"/>
        <v>6.1069390070921985</v>
      </c>
      <c r="K362" s="3">
        <f t="shared" ca="1" si="41"/>
        <v>19.849663439372986</v>
      </c>
    </row>
    <row r="363" spans="3:11" x14ac:dyDescent="0.35">
      <c r="C363" t="str">
        <f t="shared" ca="1" si="35"/>
        <v>2Q2021</v>
      </c>
      <c r="D363" vm="719">
        <f ca="1"/>
        <v>44468</v>
      </c>
      <c r="E363" vm="720">
        <f ca="1"/>
        <v>20.516999999999999</v>
      </c>
      <c r="F363" s="3">
        <f t="shared" ca="1" si="36"/>
        <v>9.5112179487179482E-2</v>
      </c>
      <c r="G363" s="3">
        <f t="shared" ca="1" si="37"/>
        <v>0.84735576923076927</v>
      </c>
      <c r="H363" s="3">
        <f t="shared" ca="1" si="38"/>
        <v>0.26069711538461537</v>
      </c>
      <c r="I363" s="3">
        <f t="shared" ca="1" si="39"/>
        <v>53.928424599831509</v>
      </c>
      <c r="J363" s="3">
        <f t="shared" ca="1" si="40"/>
        <v>6.0532425531914891</v>
      </c>
      <c r="K363" s="3">
        <f t="shared" ca="1" si="41"/>
        <v>19.675131396957124</v>
      </c>
    </row>
    <row r="364" spans="3:11" x14ac:dyDescent="0.35">
      <c r="C364" t="str">
        <f t="shared" ca="1" si="35"/>
        <v>2Q2021</v>
      </c>
      <c r="D364" vm="721">
        <f ca="1"/>
        <v>44469</v>
      </c>
      <c r="E364" vm="722">
        <f ca="1"/>
        <v>20.716000000000001</v>
      </c>
      <c r="F364" s="3">
        <f t="shared" ca="1" si="36"/>
        <v>9.5112179487179482E-2</v>
      </c>
      <c r="G364" s="3">
        <f t="shared" ca="1" si="37"/>
        <v>0.84735576923076927</v>
      </c>
      <c r="H364" s="3">
        <f t="shared" ca="1" si="38"/>
        <v>0.26069711538461537</v>
      </c>
      <c r="I364" s="3">
        <f t="shared" ca="1" si="39"/>
        <v>54.451491154170185</v>
      </c>
      <c r="J364" s="3">
        <f t="shared" ca="1" si="40"/>
        <v>6.1119546099290778</v>
      </c>
      <c r="K364" s="3">
        <f t="shared" ca="1" si="41"/>
        <v>19.865965882895345</v>
      </c>
    </row>
    <row r="365" spans="3:11" x14ac:dyDescent="0.35">
      <c r="C365" t="str">
        <f t="shared" ca="1" si="35"/>
        <v>2Q2021</v>
      </c>
      <c r="D365" vm="723">
        <f ca="1"/>
        <v>44470</v>
      </c>
      <c r="E365" vm="724">
        <f ca="1"/>
        <v>20.742000000000001</v>
      </c>
      <c r="F365" s="3">
        <f t="shared" ca="1" si="36"/>
        <v>9.5112179487179482E-2</v>
      </c>
      <c r="G365" s="3">
        <f t="shared" ca="1" si="37"/>
        <v>0.84735576923076927</v>
      </c>
      <c r="H365" s="3">
        <f t="shared" ca="1" si="38"/>
        <v>0.26069711538461537</v>
      </c>
      <c r="I365" s="3">
        <f t="shared" ca="1" si="39"/>
        <v>54.519831508003378</v>
      </c>
      <c r="J365" s="3">
        <f t="shared" ca="1" si="40"/>
        <v>6.1196255319148936</v>
      </c>
      <c r="K365" s="3">
        <f t="shared" ca="1" si="41"/>
        <v>19.890899031811898</v>
      </c>
    </row>
    <row r="366" spans="3:11" x14ac:dyDescent="0.35">
      <c r="C366" t="str">
        <f t="shared" ca="1" si="35"/>
        <v>2Q2021</v>
      </c>
      <c r="D366" vm="725">
        <f ca="1"/>
        <v>44473</v>
      </c>
      <c r="E366" vm="726">
        <f ca="1"/>
        <v>19.731999999999999</v>
      </c>
      <c r="F366" s="3">
        <f t="shared" ca="1" si="36"/>
        <v>9.5112179487179482E-2</v>
      </c>
      <c r="G366" s="3">
        <f t="shared" ca="1" si="37"/>
        <v>0.84735576923076927</v>
      </c>
      <c r="H366" s="3">
        <f t="shared" ca="1" si="38"/>
        <v>0.26069711538461537</v>
      </c>
      <c r="I366" s="3">
        <f t="shared" ca="1" si="39"/>
        <v>51.865071609098571</v>
      </c>
      <c r="J366" s="3">
        <f t="shared" ca="1" si="40"/>
        <v>5.8216397163120561</v>
      </c>
      <c r="K366" s="3">
        <f t="shared" ca="1" si="41"/>
        <v>18.922342093130474</v>
      </c>
    </row>
    <row r="367" spans="3:11" x14ac:dyDescent="0.35">
      <c r="C367" t="str">
        <f t="shared" ca="1" si="35"/>
        <v>2Q2021</v>
      </c>
      <c r="D367" vm="727">
        <f ca="1"/>
        <v>44474</v>
      </c>
      <c r="E367" vm="728">
        <f ca="1"/>
        <v>20.451000000000001</v>
      </c>
      <c r="F367" s="3">
        <f t="shared" ca="1" si="36"/>
        <v>9.5112179487179482E-2</v>
      </c>
      <c r="G367" s="3">
        <f t="shared" ca="1" si="37"/>
        <v>0.84735576923076927</v>
      </c>
      <c r="H367" s="3">
        <f t="shared" ca="1" si="38"/>
        <v>0.26069711538461537</v>
      </c>
      <c r="I367" s="3">
        <f t="shared" ca="1" si="39"/>
        <v>53.754945240101101</v>
      </c>
      <c r="J367" s="3">
        <f t="shared" ca="1" si="40"/>
        <v>6.0337702127659574</v>
      </c>
      <c r="K367" s="3">
        <f t="shared" ca="1" si="41"/>
        <v>19.611839557399726</v>
      </c>
    </row>
    <row r="368" spans="3:11" x14ac:dyDescent="0.35">
      <c r="C368" t="str">
        <f t="shared" ca="1" si="35"/>
        <v>2Q2021</v>
      </c>
      <c r="D368" vm="729">
        <f ca="1"/>
        <v>44475</v>
      </c>
      <c r="E368" vm="730">
        <f ca="1"/>
        <v>20.7</v>
      </c>
      <c r="F368" s="3">
        <f t="shared" ca="1" si="36"/>
        <v>9.5112179487179482E-2</v>
      </c>
      <c r="G368" s="3">
        <f t="shared" ca="1" si="37"/>
        <v>0.84735576923076927</v>
      </c>
      <c r="H368" s="3">
        <f t="shared" ca="1" si="38"/>
        <v>0.26069711538461537</v>
      </c>
      <c r="I368" s="3">
        <f t="shared" ca="1" si="39"/>
        <v>54.409435551811292</v>
      </c>
      <c r="J368" s="3">
        <f t="shared" ca="1" si="40"/>
        <v>6.1072340425531912</v>
      </c>
      <c r="K368" s="3">
        <f t="shared" ca="1" si="41"/>
        <v>19.850622406639005</v>
      </c>
    </row>
    <row r="369" spans="3:11" x14ac:dyDescent="0.35">
      <c r="C369" t="str">
        <f t="shared" ca="1" si="35"/>
        <v>2Q2021</v>
      </c>
      <c r="D369" vm="731">
        <f ca="1"/>
        <v>44476</v>
      </c>
      <c r="E369" vm="732">
        <f ca="1"/>
        <v>21.074999999999999</v>
      </c>
      <c r="F369" s="3">
        <f t="shared" ca="1" si="36"/>
        <v>9.5112179487179482E-2</v>
      </c>
      <c r="G369" s="3">
        <f t="shared" ca="1" si="37"/>
        <v>0.84735576923076927</v>
      </c>
      <c r="H369" s="3">
        <f t="shared" ca="1" si="38"/>
        <v>0.26069711538461537</v>
      </c>
      <c r="I369" s="3">
        <f t="shared" ca="1" si="39"/>
        <v>55.395113732097727</v>
      </c>
      <c r="J369" s="3">
        <f t="shared" ca="1" si="40"/>
        <v>6.2178723404255312</v>
      </c>
      <c r="K369" s="3">
        <f t="shared" ca="1" si="41"/>
        <v>20.210235131396956</v>
      </c>
    </row>
    <row r="370" spans="3:11" x14ac:dyDescent="0.35">
      <c r="C370" t="str">
        <f t="shared" ca="1" si="35"/>
        <v>2Q2021</v>
      </c>
      <c r="D370" vm="733">
        <f ca="1"/>
        <v>44477</v>
      </c>
      <c r="E370" vm="734">
        <f ca="1"/>
        <v>20.831</v>
      </c>
      <c r="F370" s="3">
        <f t="shared" ca="1" si="36"/>
        <v>9.5112179487179482E-2</v>
      </c>
      <c r="G370" s="3">
        <f t="shared" ca="1" si="37"/>
        <v>0.84735576923076927</v>
      </c>
      <c r="H370" s="3">
        <f t="shared" ca="1" si="38"/>
        <v>0.26069711538461537</v>
      </c>
      <c r="I370" s="3">
        <f t="shared" ca="1" si="39"/>
        <v>54.753765796124682</v>
      </c>
      <c r="J370" s="3">
        <f t="shared" ca="1" si="40"/>
        <v>6.1458836879432619</v>
      </c>
      <c r="K370" s="3">
        <f t="shared" ca="1" si="41"/>
        <v>19.976247118487784</v>
      </c>
    </row>
    <row r="371" spans="3:11" x14ac:dyDescent="0.35">
      <c r="C371" t="str">
        <f t="shared" ca="1" si="35"/>
        <v>2Q2021</v>
      </c>
      <c r="D371" vm="735">
        <f ca="1"/>
        <v>44480</v>
      </c>
      <c r="E371" vm="736">
        <f ca="1"/>
        <v>20.695</v>
      </c>
      <c r="F371" s="3">
        <f t="shared" ca="1" si="36"/>
        <v>9.5112179487179482E-2</v>
      </c>
      <c r="G371" s="3">
        <f t="shared" ca="1" si="37"/>
        <v>0.84735576923076927</v>
      </c>
      <c r="H371" s="3">
        <f t="shared" ca="1" si="38"/>
        <v>0.26069711538461537</v>
      </c>
      <c r="I371" s="3">
        <f t="shared" ca="1" si="39"/>
        <v>54.396293176074138</v>
      </c>
      <c r="J371" s="3">
        <f t="shared" ca="1" si="40"/>
        <v>6.1057588652482266</v>
      </c>
      <c r="K371" s="3">
        <f t="shared" ca="1" si="41"/>
        <v>19.845827570308899</v>
      </c>
    </row>
    <row r="372" spans="3:11" x14ac:dyDescent="0.35">
      <c r="C372" t="str">
        <f t="shared" ca="1" si="35"/>
        <v>2Q2021</v>
      </c>
      <c r="D372" vm="737">
        <f ca="1"/>
        <v>44481</v>
      </c>
      <c r="E372" vm="738">
        <f ca="1"/>
        <v>20.670999999999999</v>
      </c>
      <c r="F372" s="3">
        <f t="shared" ca="1" si="36"/>
        <v>9.5112179487179482E-2</v>
      </c>
      <c r="G372" s="3">
        <f t="shared" ca="1" si="37"/>
        <v>0.84735576923076927</v>
      </c>
      <c r="H372" s="3">
        <f t="shared" ca="1" si="38"/>
        <v>0.26069711538461537</v>
      </c>
      <c r="I372" s="3">
        <f t="shared" ca="1" si="39"/>
        <v>54.333209772535803</v>
      </c>
      <c r="J372" s="3">
        <f t="shared" ca="1" si="40"/>
        <v>6.0986780141843964</v>
      </c>
      <c r="K372" s="3">
        <f t="shared" ca="1" si="41"/>
        <v>19.822812355924388</v>
      </c>
    </row>
    <row r="373" spans="3:11" x14ac:dyDescent="0.35">
      <c r="C373" t="str">
        <f t="shared" ca="1" si="35"/>
        <v>2Q2021</v>
      </c>
      <c r="D373" vm="739">
        <f ca="1"/>
        <v>44482</v>
      </c>
      <c r="E373" vm="740">
        <f ca="1"/>
        <v>20.939</v>
      </c>
      <c r="F373" s="3">
        <f t="shared" ca="1" si="36"/>
        <v>9.5112179487179482E-2</v>
      </c>
      <c r="G373" s="3">
        <f t="shared" ca="1" si="37"/>
        <v>0.84735576923076927</v>
      </c>
      <c r="H373" s="3">
        <f t="shared" ca="1" si="38"/>
        <v>0.26069711538461537</v>
      </c>
      <c r="I373" s="3">
        <f t="shared" ca="1" si="39"/>
        <v>55.037641112047183</v>
      </c>
      <c r="J373" s="3">
        <f t="shared" ca="1" si="40"/>
        <v>6.1777475177304959</v>
      </c>
      <c r="K373" s="3">
        <f t="shared" ca="1" si="41"/>
        <v>20.079815583218075</v>
      </c>
    </row>
    <row r="374" spans="3:11" x14ac:dyDescent="0.35">
      <c r="C374" t="str">
        <f t="shared" ca="1" si="35"/>
        <v>2Q2021</v>
      </c>
      <c r="D374" vm="741">
        <f ca="1"/>
        <v>44483</v>
      </c>
      <c r="E374" vm="742">
        <f ca="1"/>
        <v>21.745999999999999</v>
      </c>
      <c r="F374" s="3">
        <f t="shared" ca="1" si="36"/>
        <v>9.5112179487179482E-2</v>
      </c>
      <c r="G374" s="3">
        <f t="shared" ca="1" si="37"/>
        <v>0.84735576923076927</v>
      </c>
      <c r="H374" s="3">
        <f t="shared" ca="1" si="38"/>
        <v>0.26069711538461537</v>
      </c>
      <c r="I374" s="3">
        <f t="shared" ca="1" si="39"/>
        <v>57.158820556023585</v>
      </c>
      <c r="J374" s="3">
        <f t="shared" ca="1" si="40"/>
        <v>6.4158411347517728</v>
      </c>
      <c r="K374" s="3">
        <f t="shared" ca="1" si="41"/>
        <v>20.853702166897186</v>
      </c>
    </row>
    <row r="375" spans="3:11" x14ac:dyDescent="0.35">
      <c r="C375" t="str">
        <f t="shared" ca="1" si="35"/>
        <v>2Q2021</v>
      </c>
      <c r="D375" vm="743">
        <f ca="1"/>
        <v>44484</v>
      </c>
      <c r="E375" vm="744">
        <f ca="1"/>
        <v>21.861999999999998</v>
      </c>
      <c r="F375" s="3">
        <f t="shared" ca="1" si="36"/>
        <v>9.5112179487179482E-2</v>
      </c>
      <c r="G375" s="3">
        <f t="shared" ca="1" si="37"/>
        <v>0.84735576923076927</v>
      </c>
      <c r="H375" s="3">
        <f t="shared" ca="1" si="38"/>
        <v>0.26069711538461537</v>
      </c>
      <c r="I375" s="3">
        <f t="shared" ca="1" si="39"/>
        <v>57.463723673125529</v>
      </c>
      <c r="J375" s="3">
        <f t="shared" ca="1" si="40"/>
        <v>6.4500652482269496</v>
      </c>
      <c r="K375" s="3">
        <f t="shared" ca="1" si="41"/>
        <v>20.964942369755647</v>
      </c>
    </row>
    <row r="376" spans="3:11" x14ac:dyDescent="0.35">
      <c r="C376" t="str">
        <f t="shared" ca="1" si="35"/>
        <v>2Q2021</v>
      </c>
      <c r="D376" vm="745">
        <f ca="1"/>
        <v>44487</v>
      </c>
      <c r="E376" vm="746">
        <f ca="1"/>
        <v>22.222000000000001</v>
      </c>
      <c r="F376" s="3">
        <f t="shared" ca="1" si="36"/>
        <v>9.5112179487179482E-2</v>
      </c>
      <c r="G376" s="3">
        <f t="shared" ca="1" si="37"/>
        <v>0.84735576923076927</v>
      </c>
      <c r="H376" s="3">
        <f t="shared" ca="1" si="38"/>
        <v>0.26069711538461537</v>
      </c>
      <c r="I376" s="3">
        <f t="shared" ca="1" si="39"/>
        <v>58.40997472620051</v>
      </c>
      <c r="J376" s="3">
        <f t="shared" ca="1" si="40"/>
        <v>6.5562780141843975</v>
      </c>
      <c r="K376" s="3">
        <f t="shared" ca="1" si="41"/>
        <v>21.310170585523284</v>
      </c>
    </row>
    <row r="377" spans="3:11" x14ac:dyDescent="0.35">
      <c r="C377" t="str">
        <f t="shared" ca="1" si="35"/>
        <v>2Q2021</v>
      </c>
      <c r="D377" vm="747">
        <f ca="1"/>
        <v>44488</v>
      </c>
      <c r="E377" vm="748">
        <f ca="1"/>
        <v>22.29</v>
      </c>
      <c r="F377" s="3">
        <f t="shared" ca="1" si="36"/>
        <v>9.5112179487179482E-2</v>
      </c>
      <c r="G377" s="3">
        <f t="shared" ca="1" si="37"/>
        <v>0.84735576923076927</v>
      </c>
      <c r="H377" s="3">
        <f t="shared" ca="1" si="38"/>
        <v>0.26069711538461537</v>
      </c>
      <c r="I377" s="3">
        <f t="shared" ca="1" si="39"/>
        <v>58.588711036225781</v>
      </c>
      <c r="J377" s="3">
        <f t="shared" ca="1" si="40"/>
        <v>6.5763404255319147</v>
      </c>
      <c r="K377" s="3">
        <f t="shared" ca="1" si="41"/>
        <v>21.375380359612723</v>
      </c>
    </row>
    <row r="378" spans="3:11" x14ac:dyDescent="0.35">
      <c r="C378" t="str">
        <f t="shared" ca="1" si="35"/>
        <v>2Q2021</v>
      </c>
      <c r="D378" vm="749">
        <f ca="1"/>
        <v>44489</v>
      </c>
      <c r="E378" vm="750">
        <f ca="1"/>
        <v>22.103000000000002</v>
      </c>
      <c r="F378" s="3">
        <f t="shared" ca="1" si="36"/>
        <v>9.5112179487179482E-2</v>
      </c>
      <c r="G378" s="3">
        <f t="shared" ca="1" si="37"/>
        <v>0.84735576923076927</v>
      </c>
      <c r="H378" s="3">
        <f t="shared" ca="1" si="38"/>
        <v>0.26069711538461537</v>
      </c>
      <c r="I378" s="3">
        <f t="shared" ca="1" si="39"/>
        <v>58.097186183656284</v>
      </c>
      <c r="J378" s="3">
        <f t="shared" ca="1" si="40"/>
        <v>6.5211687943262415</v>
      </c>
      <c r="K378" s="3">
        <f t="shared" ca="1" si="41"/>
        <v>21.196053480866762</v>
      </c>
    </row>
    <row r="379" spans="3:11" x14ac:dyDescent="0.35">
      <c r="C379" t="str">
        <f t="shared" ca="1" si="35"/>
        <v>2Q2021</v>
      </c>
      <c r="D379" vm="751">
        <f ca="1"/>
        <v>44490</v>
      </c>
      <c r="E379" vm="752">
        <f ca="1"/>
        <v>22.692</v>
      </c>
      <c r="F379" s="3">
        <f t="shared" ca="1" si="36"/>
        <v>9.5112179487179482E-2</v>
      </c>
      <c r="G379" s="3">
        <f t="shared" ca="1" si="37"/>
        <v>0.84735576923076927</v>
      </c>
      <c r="H379" s="3">
        <f t="shared" ca="1" si="38"/>
        <v>0.26069711538461537</v>
      </c>
      <c r="I379" s="3">
        <f t="shared" ca="1" si="39"/>
        <v>59.645358045492841</v>
      </c>
      <c r="J379" s="3">
        <f t="shared" ca="1" si="40"/>
        <v>6.694944680851064</v>
      </c>
      <c r="K379" s="3">
        <f t="shared" ca="1" si="41"/>
        <v>21.76088520055325</v>
      </c>
    </row>
    <row r="380" spans="3:11" x14ac:dyDescent="0.35">
      <c r="C380" t="str">
        <f t="shared" ca="1" si="35"/>
        <v>2Q2021</v>
      </c>
      <c r="D380" vm="753">
        <f ca="1"/>
        <v>44491</v>
      </c>
      <c r="E380" vm="754">
        <f ca="1"/>
        <v>22.725999999999999</v>
      </c>
      <c r="F380" s="3">
        <f t="shared" ca="1" si="36"/>
        <v>9.5112179487179482E-2</v>
      </c>
      <c r="G380" s="3">
        <f t="shared" ca="1" si="37"/>
        <v>0.84735576923076927</v>
      </c>
      <c r="H380" s="3">
        <f t="shared" ca="1" si="38"/>
        <v>0.26069711538461537</v>
      </c>
      <c r="I380" s="3">
        <f t="shared" ca="1" si="39"/>
        <v>59.734726200505477</v>
      </c>
      <c r="J380" s="3">
        <f t="shared" ca="1" si="40"/>
        <v>6.7049758865248217</v>
      </c>
      <c r="K380" s="3">
        <f t="shared" ca="1" si="41"/>
        <v>21.79349008759797</v>
      </c>
    </row>
    <row r="381" spans="3:11" x14ac:dyDescent="0.35">
      <c r="C381" t="str">
        <f t="shared" ca="1" si="35"/>
        <v>2Q2021</v>
      </c>
      <c r="D381" vm="755">
        <f ca="1"/>
        <v>44494</v>
      </c>
      <c r="E381" vm="756">
        <f ca="1"/>
        <v>23.166</v>
      </c>
      <c r="F381" s="3">
        <f t="shared" ca="1" si="36"/>
        <v>9.5112179487179482E-2</v>
      </c>
      <c r="G381" s="3">
        <f t="shared" ca="1" si="37"/>
        <v>0.84735576923076927</v>
      </c>
      <c r="H381" s="3">
        <f t="shared" ca="1" si="38"/>
        <v>0.26069711538461537</v>
      </c>
      <c r="I381" s="3">
        <f t="shared" ca="1" si="39"/>
        <v>60.891255265374902</v>
      </c>
      <c r="J381" s="3">
        <f t="shared" ca="1" si="40"/>
        <v>6.8347914893617023</v>
      </c>
      <c r="K381" s="3">
        <f t="shared" ca="1" si="41"/>
        <v>22.215435684647304</v>
      </c>
    </row>
    <row r="382" spans="3:11" x14ac:dyDescent="0.35">
      <c r="C382" t="str">
        <f t="shared" ca="1" si="35"/>
        <v>2Q2021</v>
      </c>
      <c r="D382" vm="757">
        <f ca="1"/>
        <v>44495</v>
      </c>
      <c r="E382" vm="758">
        <f ca="1"/>
        <v>24.716999999999999</v>
      </c>
      <c r="F382" s="3">
        <f t="shared" ca="1" si="36"/>
        <v>9.5112179487179482E-2</v>
      </c>
      <c r="G382" s="3">
        <f t="shared" ca="1" si="37"/>
        <v>0.84735576923076927</v>
      </c>
      <c r="H382" s="3">
        <f t="shared" ca="1" si="38"/>
        <v>0.26069711538461537</v>
      </c>
      <c r="I382" s="3">
        <f t="shared" ca="1" si="39"/>
        <v>64.968020219039602</v>
      </c>
      <c r="J382" s="3">
        <f t="shared" ca="1" si="40"/>
        <v>7.2923914893617017</v>
      </c>
      <c r="K382" s="3">
        <f t="shared" ca="1" si="41"/>
        <v>23.702793914246197</v>
      </c>
    </row>
    <row r="383" spans="3:11" x14ac:dyDescent="0.35">
      <c r="C383" t="str">
        <f t="shared" ca="1" si="35"/>
        <v>2Q2021</v>
      </c>
      <c r="D383" vm="759">
        <f ca="1"/>
        <v>44496</v>
      </c>
      <c r="E383" vm="760">
        <f ca="1"/>
        <v>24.451000000000001</v>
      </c>
      <c r="F383" s="3">
        <f t="shared" ca="1" si="36"/>
        <v>9.5112179487179482E-2</v>
      </c>
      <c r="G383" s="3">
        <f t="shared" ca="1" si="37"/>
        <v>0.84735576923076927</v>
      </c>
      <c r="H383" s="3">
        <f t="shared" ca="1" si="38"/>
        <v>0.26069711538461537</v>
      </c>
      <c r="I383" s="3">
        <f t="shared" ca="1" si="39"/>
        <v>64.268845829823093</v>
      </c>
      <c r="J383" s="3">
        <f t="shared" ca="1" si="40"/>
        <v>7.2139120567375885</v>
      </c>
      <c r="K383" s="3">
        <f t="shared" ca="1" si="41"/>
        <v>23.447708621484555</v>
      </c>
    </row>
    <row r="384" spans="3:11" x14ac:dyDescent="0.35">
      <c r="C384" t="str">
        <f t="shared" ca="1" si="35"/>
        <v>2Q2021</v>
      </c>
      <c r="D384" vm="761">
        <f ca="1"/>
        <v>44497</v>
      </c>
      <c r="E384" vm="762">
        <f ca="1"/>
        <v>24.940999999999999</v>
      </c>
      <c r="F384" s="3">
        <f t="shared" ca="1" si="36"/>
        <v>9.5112179487179482E-2</v>
      </c>
      <c r="G384" s="3">
        <f t="shared" ca="1" si="37"/>
        <v>0.84735576923076927</v>
      </c>
      <c r="H384" s="3">
        <f t="shared" ca="1" si="38"/>
        <v>0.26069711538461537</v>
      </c>
      <c r="I384" s="3">
        <f t="shared" ca="1" si="39"/>
        <v>65.556798652064032</v>
      </c>
      <c r="J384" s="3">
        <f t="shared" ca="1" si="40"/>
        <v>7.3584794326241125</v>
      </c>
      <c r="K384" s="3">
        <f t="shared" ca="1" si="41"/>
        <v>23.917602581834945</v>
      </c>
    </row>
    <row r="385" spans="3:11" x14ac:dyDescent="0.35">
      <c r="C385" t="str">
        <f t="shared" ca="1" si="35"/>
        <v>2Q2021</v>
      </c>
      <c r="D385" vm="763">
        <f ca="1"/>
        <v>44498</v>
      </c>
      <c r="E385" vm="764">
        <f ca="1"/>
        <v>25.567</v>
      </c>
      <c r="F385" s="3">
        <f t="shared" ca="1" si="36"/>
        <v>9.5112179487179482E-2</v>
      </c>
      <c r="G385" s="3">
        <f t="shared" ca="1" si="37"/>
        <v>0.84735576923076927</v>
      </c>
      <c r="H385" s="3">
        <f t="shared" ca="1" si="38"/>
        <v>0.26069711538461537</v>
      </c>
      <c r="I385" s="3">
        <f t="shared" ca="1" si="39"/>
        <v>67.202224094355529</v>
      </c>
      <c r="J385" s="3">
        <f t="shared" ca="1" si="40"/>
        <v>7.5431716312056736</v>
      </c>
      <c r="K385" s="3">
        <f t="shared" ca="1" si="41"/>
        <v>24.517916090364224</v>
      </c>
    </row>
    <row r="386" spans="3:11" x14ac:dyDescent="0.35">
      <c r="C386" t="str">
        <f t="shared" ca="1" si="35"/>
        <v>3Q2021</v>
      </c>
      <c r="D386" vm="765">
        <f ca="1"/>
        <v>44501</v>
      </c>
      <c r="E386" vm="766">
        <f ca="1"/>
        <v>25.827000000000002</v>
      </c>
      <c r="F386" s="3">
        <f t="shared" ca="1" si="36"/>
        <v>9.8481215027977617E-2</v>
      </c>
      <c r="G386" s="3">
        <f t="shared" ca="1" si="37"/>
        <v>0.95123900879296563</v>
      </c>
      <c r="H386" s="3">
        <f t="shared" ca="1" si="38"/>
        <v>0.28389288569144683</v>
      </c>
      <c r="I386" s="3">
        <f t="shared" ca="1" si="39"/>
        <v>65.563265016233771</v>
      </c>
      <c r="J386" s="3">
        <f t="shared" ca="1" si="40"/>
        <v>6.7877262605042024</v>
      </c>
      <c r="K386" s="3">
        <f t="shared" ca="1" si="41"/>
        <v>22.743613262001972</v>
      </c>
    </row>
    <row r="387" spans="3:11" x14ac:dyDescent="0.35">
      <c r="C387" t="str">
        <f t="shared" ref="C387:C450" ca="1" si="42">LOOKUP(D387,$N$2:$N$27,$M$2:$M$27)</f>
        <v>3Q2021</v>
      </c>
      <c r="D387" vm="767">
        <f ca="1"/>
        <v>44502</v>
      </c>
      <c r="E387" vm="768">
        <f ca="1"/>
        <v>26.401</v>
      </c>
      <c r="F387" s="3">
        <f t="shared" ca="1" si="36"/>
        <v>9.8481215027977617E-2</v>
      </c>
      <c r="G387" s="3">
        <f t="shared" ca="1" si="37"/>
        <v>0.95123900879296563</v>
      </c>
      <c r="H387" s="3">
        <f t="shared" ca="1" si="38"/>
        <v>0.28389288569144683</v>
      </c>
      <c r="I387" s="3">
        <f t="shared" ca="1" si="39"/>
        <v>67.020395698051942</v>
      </c>
      <c r="J387" s="3">
        <f t="shared" ca="1" si="40"/>
        <v>6.9385821428571424</v>
      </c>
      <c r="K387" s="3">
        <f t="shared" ca="1" si="41"/>
        <v>23.249085597634803</v>
      </c>
    </row>
    <row r="388" spans="3:11" x14ac:dyDescent="0.35">
      <c r="C388" t="str">
        <f t="shared" ca="1" si="42"/>
        <v>3Q2021</v>
      </c>
      <c r="D388" vm="769">
        <f ca="1"/>
        <v>44503</v>
      </c>
      <c r="E388" vm="770">
        <f ca="1"/>
        <v>26.597999999999999</v>
      </c>
      <c r="F388" s="3">
        <f t="shared" ref="F388:F451" ca="1" si="43">VLOOKUP($C388,$M$2:$R$27,4,0)/VLOOKUP($C388,$M$2:$R$27,3,0)</f>
        <v>9.8481215027977617E-2</v>
      </c>
      <c r="G388" s="3">
        <f t="shared" ref="G388:G451" ca="1" si="44">VLOOKUP($C388,$M$2:$R$27,6,0)/VLOOKUP($C388,$M$2:$R$27,3,0)</f>
        <v>0.95123900879296563</v>
      </c>
      <c r="H388" s="3">
        <f t="shared" ref="H388:H451" ca="1" si="45">VLOOKUP($C388,$M$2:$R$27,5,0)/VLOOKUP($C388,$M$2:$R$27,3,0)</f>
        <v>0.28389288569144683</v>
      </c>
      <c r="I388" s="3">
        <f t="shared" ref="I388:I451" ca="1" si="46">$E388/(F388*4)</f>
        <v>67.520491071428566</v>
      </c>
      <c r="J388" s="3">
        <f t="shared" ref="J388:J451" ca="1" si="47">$E388/(G388*4)</f>
        <v>6.990356722689075</v>
      </c>
      <c r="K388" s="3">
        <f t="shared" ref="K388:K451" ca="1" si="48">$E388/(H388*4)</f>
        <v>23.42256652118823</v>
      </c>
    </row>
    <row r="389" spans="3:11" x14ac:dyDescent="0.35">
      <c r="C389" t="str">
        <f t="shared" ca="1" si="42"/>
        <v>3Q2021</v>
      </c>
      <c r="D389" vm="771">
        <f ca="1"/>
        <v>44504</v>
      </c>
      <c r="E389" vm="772">
        <f ca="1"/>
        <v>29.800999999999998</v>
      </c>
      <c r="F389" s="3">
        <f t="shared" ca="1" si="43"/>
        <v>9.8481215027977617E-2</v>
      </c>
      <c r="G389" s="3">
        <f t="shared" ca="1" si="44"/>
        <v>0.95123900879296563</v>
      </c>
      <c r="H389" s="3">
        <f t="shared" ca="1" si="45"/>
        <v>0.28389288569144683</v>
      </c>
      <c r="I389" s="3">
        <f t="shared" ca="1" si="46"/>
        <v>75.651483360389605</v>
      </c>
      <c r="J389" s="3">
        <f t="shared" ca="1" si="47"/>
        <v>7.832153571428571</v>
      </c>
      <c r="K389" s="3">
        <f t="shared" ca="1" si="48"/>
        <v>26.243172603125441</v>
      </c>
    </row>
    <row r="390" spans="3:11" x14ac:dyDescent="0.35">
      <c r="C390" t="str">
        <f t="shared" ca="1" si="42"/>
        <v>3Q2021</v>
      </c>
      <c r="D390" vm="773">
        <f ca="1"/>
        <v>44505</v>
      </c>
      <c r="E390" vm="774">
        <f ca="1"/>
        <v>29.751999999999999</v>
      </c>
      <c r="F390" s="3">
        <f t="shared" ca="1" si="43"/>
        <v>9.8481215027977617E-2</v>
      </c>
      <c r="G390" s="3">
        <f t="shared" ca="1" si="44"/>
        <v>0.95123900879296563</v>
      </c>
      <c r="H390" s="3">
        <f t="shared" ca="1" si="45"/>
        <v>0.28389288569144683</v>
      </c>
      <c r="I390" s="3">
        <f t="shared" ca="1" si="46"/>
        <v>75.527094155844154</v>
      </c>
      <c r="J390" s="3">
        <f t="shared" ca="1" si="47"/>
        <v>7.8192756302521005</v>
      </c>
      <c r="K390" s="3">
        <f t="shared" ca="1" si="48"/>
        <v>26.20002252569337</v>
      </c>
    </row>
    <row r="391" spans="3:11" x14ac:dyDescent="0.35">
      <c r="C391" t="str">
        <f t="shared" ca="1" si="42"/>
        <v>3Q2021</v>
      </c>
      <c r="D391" vm="775">
        <f ca="1"/>
        <v>44508</v>
      </c>
      <c r="E391" vm="776">
        <f ca="1"/>
        <v>30.803999999999998</v>
      </c>
      <c r="F391" s="3">
        <f t="shared" ca="1" si="43"/>
        <v>9.8481215027977617E-2</v>
      </c>
      <c r="G391" s="3">
        <f t="shared" ca="1" si="44"/>
        <v>0.95123900879296563</v>
      </c>
      <c r="H391" s="3">
        <f t="shared" ca="1" si="45"/>
        <v>0.28389288569144683</v>
      </c>
      <c r="I391" s="3">
        <f t="shared" ca="1" si="46"/>
        <v>78.197654220779214</v>
      </c>
      <c r="J391" s="3">
        <f t="shared" ca="1" si="47"/>
        <v>8.095757142857142</v>
      </c>
      <c r="K391" s="3">
        <f t="shared" ca="1" si="48"/>
        <v>27.12642826974518</v>
      </c>
    </row>
    <row r="392" spans="3:11" x14ac:dyDescent="0.35">
      <c r="C392" t="str">
        <f t="shared" ca="1" si="42"/>
        <v>3Q2021</v>
      </c>
      <c r="D392" vm="777">
        <f ca="1"/>
        <v>44509</v>
      </c>
      <c r="E392" vm="778">
        <f ca="1"/>
        <v>30.657</v>
      </c>
      <c r="F392" s="3">
        <f t="shared" ca="1" si="43"/>
        <v>9.8481215027977617E-2</v>
      </c>
      <c r="G392" s="3">
        <f t="shared" ca="1" si="44"/>
        <v>0.95123900879296563</v>
      </c>
      <c r="H392" s="3">
        <f t="shared" ca="1" si="45"/>
        <v>0.28389288569144683</v>
      </c>
      <c r="I392" s="3">
        <f t="shared" ca="1" si="46"/>
        <v>77.824486607142859</v>
      </c>
      <c r="J392" s="3">
        <f t="shared" ca="1" si="47"/>
        <v>8.0571233193277312</v>
      </c>
      <c r="K392" s="3">
        <f t="shared" ca="1" si="48"/>
        <v>26.996978037448965</v>
      </c>
    </row>
    <row r="393" spans="3:11" x14ac:dyDescent="0.35">
      <c r="C393" t="str">
        <f t="shared" ca="1" si="42"/>
        <v>3Q2021</v>
      </c>
      <c r="D393" vm="779">
        <f ca="1"/>
        <v>44510</v>
      </c>
      <c r="E393" vm="780">
        <f ca="1"/>
        <v>29.459</v>
      </c>
      <c r="F393" s="3">
        <f t="shared" ca="1" si="43"/>
        <v>9.8481215027977617E-2</v>
      </c>
      <c r="G393" s="3">
        <f t="shared" ca="1" si="44"/>
        <v>0.95123900879296563</v>
      </c>
      <c r="H393" s="3">
        <f t="shared" ca="1" si="45"/>
        <v>0.28389288569144683</v>
      </c>
      <c r="I393" s="3">
        <f t="shared" ca="1" si="46"/>
        <v>74.783297483766233</v>
      </c>
      <c r="J393" s="3">
        <f t="shared" ca="1" si="47"/>
        <v>7.7422707983193275</v>
      </c>
      <c r="K393" s="3">
        <f t="shared" ca="1" si="48"/>
        <v>25.942002674926087</v>
      </c>
    </row>
    <row r="394" spans="3:11" x14ac:dyDescent="0.35">
      <c r="C394" t="str">
        <f t="shared" ca="1" si="42"/>
        <v>3Q2021</v>
      </c>
      <c r="D394" vm="781">
        <f ca="1"/>
        <v>44511</v>
      </c>
      <c r="E394" vm="782">
        <f ca="1"/>
        <v>30.39</v>
      </c>
      <c r="F394" s="3">
        <f t="shared" ca="1" si="43"/>
        <v>9.8481215027977617E-2</v>
      </c>
      <c r="G394" s="3">
        <f t="shared" ca="1" si="44"/>
        <v>0.95123900879296563</v>
      </c>
      <c r="H394" s="3">
        <f t="shared" ca="1" si="45"/>
        <v>0.28389288569144683</v>
      </c>
      <c r="I394" s="3">
        <f t="shared" ca="1" si="46"/>
        <v>77.14669237012987</v>
      </c>
      <c r="J394" s="3">
        <f t="shared" ca="1" si="47"/>
        <v>7.9869516806722691</v>
      </c>
      <c r="K394" s="3">
        <f t="shared" ca="1" si="48"/>
        <v>26.761854146135438</v>
      </c>
    </row>
    <row r="395" spans="3:11" x14ac:dyDescent="0.35">
      <c r="C395" t="str">
        <f t="shared" ca="1" si="42"/>
        <v>3Q2021</v>
      </c>
      <c r="D395" vm="783">
        <f ca="1"/>
        <v>44512</v>
      </c>
      <c r="E395" vm="782">
        <f ca="1"/>
        <v>30.39</v>
      </c>
      <c r="F395" s="3">
        <f t="shared" ca="1" si="43"/>
        <v>9.8481215027977617E-2</v>
      </c>
      <c r="G395" s="3">
        <f t="shared" ca="1" si="44"/>
        <v>0.95123900879296563</v>
      </c>
      <c r="H395" s="3">
        <f t="shared" ca="1" si="45"/>
        <v>0.28389288569144683</v>
      </c>
      <c r="I395" s="3">
        <f t="shared" ca="1" si="46"/>
        <v>77.14669237012987</v>
      </c>
      <c r="J395" s="3">
        <f t="shared" ca="1" si="47"/>
        <v>7.9869516806722691</v>
      </c>
      <c r="K395" s="3">
        <f t="shared" ca="1" si="48"/>
        <v>26.761854146135438</v>
      </c>
    </row>
    <row r="396" spans="3:11" x14ac:dyDescent="0.35">
      <c r="C396" t="str">
        <f t="shared" ca="1" si="42"/>
        <v>3Q2021</v>
      </c>
      <c r="D396" vm="784">
        <f ca="1"/>
        <v>44515</v>
      </c>
      <c r="E396" vm="785">
        <f ca="1"/>
        <v>30.024999999999999</v>
      </c>
      <c r="F396" s="3">
        <f t="shared" ca="1" si="43"/>
        <v>9.8481215027977617E-2</v>
      </c>
      <c r="G396" s="3">
        <f t="shared" ca="1" si="44"/>
        <v>0.95123900879296563</v>
      </c>
      <c r="H396" s="3">
        <f t="shared" ca="1" si="45"/>
        <v>0.28389288569144683</v>
      </c>
      <c r="I396" s="3">
        <f t="shared" ca="1" si="46"/>
        <v>76.220119724025977</v>
      </c>
      <c r="J396" s="3">
        <f t="shared" ca="1" si="47"/>
        <v>7.8910241596638651</v>
      </c>
      <c r="K396" s="3">
        <f t="shared" ca="1" si="48"/>
        <v>26.440430099957766</v>
      </c>
    </row>
    <row r="397" spans="3:11" x14ac:dyDescent="0.35">
      <c r="C397" t="str">
        <f t="shared" ca="1" si="42"/>
        <v>3Q2021</v>
      </c>
      <c r="D397" vm="786">
        <f ca="1"/>
        <v>44516</v>
      </c>
      <c r="E397" vm="787">
        <f ca="1"/>
        <v>30.202999999999999</v>
      </c>
      <c r="F397" s="3">
        <f t="shared" ca="1" si="43"/>
        <v>9.8481215027977617E-2</v>
      </c>
      <c r="G397" s="3">
        <f t="shared" ca="1" si="44"/>
        <v>0.95123900879296563</v>
      </c>
      <c r="H397" s="3">
        <f t="shared" ca="1" si="45"/>
        <v>0.28389288569144683</v>
      </c>
      <c r="I397" s="3">
        <f t="shared" ca="1" si="46"/>
        <v>76.671982548701294</v>
      </c>
      <c r="J397" s="3">
        <f t="shared" ca="1" si="47"/>
        <v>7.9378052521008398</v>
      </c>
      <c r="K397" s="3">
        <f t="shared" ca="1" si="48"/>
        <v>26.597179360833451</v>
      </c>
    </row>
    <row r="398" spans="3:11" x14ac:dyDescent="0.35">
      <c r="C398" t="str">
        <f t="shared" ca="1" si="42"/>
        <v>3Q2021</v>
      </c>
      <c r="D398" vm="788">
        <f ca="1"/>
        <v>44517</v>
      </c>
      <c r="E398" vm="789">
        <f ca="1"/>
        <v>29.260999999999999</v>
      </c>
      <c r="F398" s="3">
        <f t="shared" ca="1" si="43"/>
        <v>9.8481215027977617E-2</v>
      </c>
      <c r="G398" s="3">
        <f t="shared" ca="1" si="44"/>
        <v>0.95123900879296563</v>
      </c>
      <c r="H398" s="3">
        <f t="shared" ca="1" si="45"/>
        <v>0.28389288569144683</v>
      </c>
      <c r="I398" s="3">
        <f t="shared" ca="1" si="46"/>
        <v>74.280663555194806</v>
      </c>
      <c r="J398" s="3">
        <f t="shared" ca="1" si="47"/>
        <v>7.6902334033613444</v>
      </c>
      <c r="K398" s="3">
        <f t="shared" ca="1" si="48"/>
        <v>25.767641137547514</v>
      </c>
    </row>
    <row r="399" spans="3:11" x14ac:dyDescent="0.35">
      <c r="C399" t="str">
        <f t="shared" ca="1" si="42"/>
        <v>3Q2021</v>
      </c>
      <c r="D399" vm="790">
        <f ca="1"/>
        <v>44518</v>
      </c>
      <c r="E399" vm="791">
        <f ca="1"/>
        <v>31.675000000000001</v>
      </c>
      <c r="F399" s="3">
        <f t="shared" ca="1" si="43"/>
        <v>9.8481215027977617E-2</v>
      </c>
      <c r="G399" s="3">
        <f t="shared" ca="1" si="44"/>
        <v>0.95123900879296563</v>
      </c>
      <c r="H399" s="3">
        <f t="shared" ca="1" si="45"/>
        <v>0.28389288569144683</v>
      </c>
      <c r="I399" s="3">
        <f t="shared" ca="1" si="46"/>
        <v>80.408735795454547</v>
      </c>
      <c r="J399" s="3">
        <f t="shared" ca="1" si="47"/>
        <v>8.3246691176470584</v>
      </c>
      <c r="K399" s="3">
        <f t="shared" ca="1" si="48"/>
        <v>27.89344291144587</v>
      </c>
    </row>
    <row r="400" spans="3:11" x14ac:dyDescent="0.35">
      <c r="C400" t="str">
        <f t="shared" ca="1" si="42"/>
        <v>3Q2021</v>
      </c>
      <c r="D400" vm="792">
        <f ca="1"/>
        <v>44519</v>
      </c>
      <c r="E400" vm="793">
        <f ca="1"/>
        <v>32.984999999999999</v>
      </c>
      <c r="F400" s="3">
        <f t="shared" ca="1" si="43"/>
        <v>9.8481215027977617E-2</v>
      </c>
      <c r="G400" s="3">
        <f t="shared" ca="1" si="44"/>
        <v>0.95123900879296563</v>
      </c>
      <c r="H400" s="3">
        <f t="shared" ca="1" si="45"/>
        <v>0.28389288569144683</v>
      </c>
      <c r="I400" s="3">
        <f t="shared" ca="1" si="46"/>
        <v>83.734243100649351</v>
      </c>
      <c r="J400" s="3">
        <f t="shared" ca="1" si="47"/>
        <v>8.6689569327731082</v>
      </c>
      <c r="K400" s="3">
        <f t="shared" ca="1" si="48"/>
        <v>29.047047022384909</v>
      </c>
    </row>
    <row r="401" spans="3:11" x14ac:dyDescent="0.35">
      <c r="C401" t="str">
        <f t="shared" ca="1" si="42"/>
        <v>3Q2021</v>
      </c>
      <c r="D401" vm="794">
        <f ca="1"/>
        <v>44522</v>
      </c>
      <c r="E401" vm="795">
        <f ca="1"/>
        <v>31.956</v>
      </c>
      <c r="F401" s="3">
        <f t="shared" ca="1" si="43"/>
        <v>9.8481215027977617E-2</v>
      </c>
      <c r="G401" s="3">
        <f t="shared" ca="1" si="44"/>
        <v>0.95123900879296563</v>
      </c>
      <c r="H401" s="3">
        <f t="shared" ca="1" si="45"/>
        <v>0.28389288569144683</v>
      </c>
      <c r="I401" s="3">
        <f t="shared" ca="1" si="46"/>
        <v>81.122069805194798</v>
      </c>
      <c r="J401" s="3">
        <f t="shared" ca="1" si="47"/>
        <v>8.3985201680672272</v>
      </c>
      <c r="K401" s="3">
        <f t="shared" ca="1" si="48"/>
        <v>28.140895396311418</v>
      </c>
    </row>
    <row r="402" spans="3:11" x14ac:dyDescent="0.35">
      <c r="C402" t="str">
        <f t="shared" ca="1" si="42"/>
        <v>3Q2021</v>
      </c>
      <c r="D402" vm="796">
        <f ca="1"/>
        <v>44523</v>
      </c>
      <c r="E402" vm="797">
        <f ca="1"/>
        <v>31.745999999999999</v>
      </c>
      <c r="F402" s="3">
        <f t="shared" ca="1" si="43"/>
        <v>9.8481215027977617E-2</v>
      </c>
      <c r="G402" s="3">
        <f t="shared" ca="1" si="44"/>
        <v>0.95123900879296563</v>
      </c>
      <c r="H402" s="3">
        <f t="shared" ca="1" si="45"/>
        <v>0.28389288569144683</v>
      </c>
      <c r="I402" s="3">
        <f t="shared" ca="1" si="46"/>
        <v>80.588973214285716</v>
      </c>
      <c r="J402" s="3">
        <f t="shared" ca="1" si="47"/>
        <v>8.3433289915966391</v>
      </c>
      <c r="K402" s="3">
        <f t="shared" ca="1" si="48"/>
        <v>27.955966493031113</v>
      </c>
    </row>
    <row r="403" spans="3:11" x14ac:dyDescent="0.35">
      <c r="C403" t="str">
        <f t="shared" ca="1" si="42"/>
        <v>3Q2021</v>
      </c>
      <c r="D403" vm="798">
        <f ca="1"/>
        <v>44524</v>
      </c>
      <c r="E403" vm="799">
        <f ca="1"/>
        <v>32.673999999999999</v>
      </c>
      <c r="F403" s="3">
        <f t="shared" ca="1" si="43"/>
        <v>9.8481215027977617E-2</v>
      </c>
      <c r="G403" s="3">
        <f t="shared" ca="1" si="44"/>
        <v>0.95123900879296563</v>
      </c>
      <c r="H403" s="3">
        <f t="shared" ca="1" si="45"/>
        <v>0.28389288569144683</v>
      </c>
      <c r="I403" s="3">
        <f t="shared" ca="1" si="46"/>
        <v>82.944752435064927</v>
      </c>
      <c r="J403" s="3">
        <f t="shared" ca="1" si="47"/>
        <v>8.5872214285714286</v>
      </c>
      <c r="K403" s="3">
        <f t="shared" ca="1" si="48"/>
        <v>28.77317612276503</v>
      </c>
    </row>
    <row r="404" spans="3:11" x14ac:dyDescent="0.35">
      <c r="C404" t="str">
        <f t="shared" ca="1" si="42"/>
        <v>3Q2021</v>
      </c>
      <c r="D404" vm="800">
        <f ca="1"/>
        <v>44526</v>
      </c>
      <c r="E404" vm="801">
        <f ca="1"/>
        <v>31.503</v>
      </c>
      <c r="F404" s="3">
        <f t="shared" ca="1" si="43"/>
        <v>9.8481215027977617E-2</v>
      </c>
      <c r="G404" s="3">
        <f t="shared" ca="1" si="44"/>
        <v>0.95123900879296563</v>
      </c>
      <c r="H404" s="3">
        <f t="shared" ca="1" si="45"/>
        <v>0.28389288569144683</v>
      </c>
      <c r="I404" s="3">
        <f t="shared" ca="1" si="46"/>
        <v>79.97210430194805</v>
      </c>
      <c r="J404" s="3">
        <f t="shared" ca="1" si="47"/>
        <v>8.2794649159663862</v>
      </c>
      <c r="K404" s="3">
        <f t="shared" ca="1" si="48"/>
        <v>27.741977333521049</v>
      </c>
    </row>
    <row r="405" spans="3:11" x14ac:dyDescent="0.35">
      <c r="C405" t="str">
        <f t="shared" ca="1" si="42"/>
        <v>3Q2021</v>
      </c>
      <c r="D405" vm="802">
        <f ca="1"/>
        <v>44529</v>
      </c>
      <c r="E405" vm="803">
        <f ca="1"/>
        <v>33.375999999999998</v>
      </c>
      <c r="F405" s="3">
        <f t="shared" ca="1" si="43"/>
        <v>9.8481215027977617E-2</v>
      </c>
      <c r="G405" s="3">
        <f t="shared" ca="1" si="44"/>
        <v>0.95123900879296563</v>
      </c>
      <c r="H405" s="3">
        <f t="shared" ca="1" si="45"/>
        <v>0.28389288569144683</v>
      </c>
      <c r="I405" s="3">
        <f t="shared" ca="1" si="46"/>
        <v>84.726818181818174</v>
      </c>
      <c r="J405" s="3">
        <f t="shared" ca="1" si="47"/>
        <v>8.7717176470588232</v>
      </c>
      <c r="K405" s="3">
        <f t="shared" ca="1" si="48"/>
        <v>29.391367028016329</v>
      </c>
    </row>
    <row r="406" spans="3:11" x14ac:dyDescent="0.35">
      <c r="C406" t="str">
        <f t="shared" ca="1" si="42"/>
        <v>3Q2021</v>
      </c>
      <c r="D406" vm="804">
        <f ca="1"/>
        <v>44530</v>
      </c>
      <c r="E406" vm="805">
        <f ca="1"/>
        <v>32.676000000000002</v>
      </c>
      <c r="F406" s="3">
        <f t="shared" ca="1" si="43"/>
        <v>9.8481215027977617E-2</v>
      </c>
      <c r="G406" s="3">
        <f t="shared" ca="1" si="44"/>
        <v>0.95123900879296563</v>
      </c>
      <c r="H406" s="3">
        <f t="shared" ca="1" si="45"/>
        <v>0.28389288569144683</v>
      </c>
      <c r="I406" s="3">
        <f t="shared" ca="1" si="46"/>
        <v>82.949829545454548</v>
      </c>
      <c r="J406" s="3">
        <f t="shared" ca="1" si="47"/>
        <v>8.5877470588235294</v>
      </c>
      <c r="K406" s="3">
        <f t="shared" ca="1" si="48"/>
        <v>28.774937350415321</v>
      </c>
    </row>
    <row r="407" spans="3:11" x14ac:dyDescent="0.35">
      <c r="C407" t="str">
        <f t="shared" ca="1" si="42"/>
        <v>3Q2021</v>
      </c>
      <c r="D407" vm="806">
        <f ca="1"/>
        <v>44531</v>
      </c>
      <c r="E407" vm="807">
        <f ca="1"/>
        <v>31.434999999999999</v>
      </c>
      <c r="F407" s="3">
        <f t="shared" ca="1" si="43"/>
        <v>9.8481215027977617E-2</v>
      </c>
      <c r="G407" s="3">
        <f t="shared" ca="1" si="44"/>
        <v>0.95123900879296563</v>
      </c>
      <c r="H407" s="3">
        <f t="shared" ca="1" si="45"/>
        <v>0.28389288569144683</v>
      </c>
      <c r="I407" s="3">
        <f t="shared" ca="1" si="46"/>
        <v>79.799482548701292</v>
      </c>
      <c r="J407" s="3">
        <f t="shared" ca="1" si="47"/>
        <v>8.2615934873949577</v>
      </c>
      <c r="K407" s="3">
        <f t="shared" ca="1" si="48"/>
        <v>27.682095593411233</v>
      </c>
    </row>
    <row r="408" spans="3:11" x14ac:dyDescent="0.35">
      <c r="C408" t="str">
        <f t="shared" ca="1" si="42"/>
        <v>3Q2021</v>
      </c>
      <c r="D408" vm="808">
        <f ca="1"/>
        <v>44532</v>
      </c>
      <c r="E408" vm="809">
        <f ca="1"/>
        <v>32.125999999999998</v>
      </c>
      <c r="F408" s="3">
        <f t="shared" ca="1" si="43"/>
        <v>9.8481215027977617E-2</v>
      </c>
      <c r="G408" s="3">
        <f t="shared" ca="1" si="44"/>
        <v>0.95123900879296563</v>
      </c>
      <c r="H408" s="3">
        <f t="shared" ca="1" si="45"/>
        <v>0.28389288569144683</v>
      </c>
      <c r="I408" s="3">
        <f t="shared" ca="1" si="46"/>
        <v>81.553624188311687</v>
      </c>
      <c r="J408" s="3">
        <f t="shared" ca="1" si="47"/>
        <v>8.4431987394957968</v>
      </c>
      <c r="K408" s="3">
        <f t="shared" ca="1" si="48"/>
        <v>28.290599746585951</v>
      </c>
    </row>
    <row r="409" spans="3:11" x14ac:dyDescent="0.35">
      <c r="C409" t="str">
        <f t="shared" ca="1" si="42"/>
        <v>3Q2021</v>
      </c>
      <c r="D409" vm="810">
        <f ca="1"/>
        <v>44533</v>
      </c>
      <c r="E409" vm="811">
        <f ca="1"/>
        <v>30.693000000000001</v>
      </c>
      <c r="F409" s="3">
        <f t="shared" ca="1" si="43"/>
        <v>9.8481215027977617E-2</v>
      </c>
      <c r="G409" s="3">
        <f t="shared" ca="1" si="44"/>
        <v>0.95123900879296563</v>
      </c>
      <c r="H409" s="3">
        <f t="shared" ca="1" si="45"/>
        <v>0.28389288569144683</v>
      </c>
      <c r="I409" s="3">
        <f t="shared" ca="1" si="46"/>
        <v>77.915874594155852</v>
      </c>
      <c r="J409" s="3">
        <f t="shared" ca="1" si="47"/>
        <v>8.0665846638655463</v>
      </c>
      <c r="K409" s="3">
        <f t="shared" ca="1" si="48"/>
        <v>27.028680135154161</v>
      </c>
    </row>
    <row r="410" spans="3:11" x14ac:dyDescent="0.35">
      <c r="C410" t="str">
        <f t="shared" ca="1" si="42"/>
        <v>3Q2021</v>
      </c>
      <c r="D410" vm="812">
        <f ca="1"/>
        <v>44536</v>
      </c>
      <c r="E410" vm="813">
        <f ca="1"/>
        <v>30.036999999999999</v>
      </c>
      <c r="F410" s="3">
        <f t="shared" ca="1" si="43"/>
        <v>9.8481215027977617E-2</v>
      </c>
      <c r="G410" s="3">
        <f t="shared" ca="1" si="44"/>
        <v>0.95123900879296563</v>
      </c>
      <c r="H410" s="3">
        <f t="shared" ca="1" si="45"/>
        <v>0.28389288569144683</v>
      </c>
      <c r="I410" s="3">
        <f t="shared" ca="1" si="46"/>
        <v>76.250582386363632</v>
      </c>
      <c r="J410" s="3">
        <f t="shared" ca="1" si="47"/>
        <v>7.8941779411764701</v>
      </c>
      <c r="K410" s="3">
        <f t="shared" ca="1" si="48"/>
        <v>26.450997465859498</v>
      </c>
    </row>
    <row r="411" spans="3:11" x14ac:dyDescent="0.35">
      <c r="C411" t="str">
        <f t="shared" ca="1" si="42"/>
        <v>3Q2021</v>
      </c>
      <c r="D411" vm="814">
        <f ca="1"/>
        <v>44537</v>
      </c>
      <c r="E411" vm="815">
        <f ca="1"/>
        <v>32.427</v>
      </c>
      <c r="F411" s="3">
        <f t="shared" ca="1" si="43"/>
        <v>9.8481215027977617E-2</v>
      </c>
      <c r="G411" s="3">
        <f t="shared" ca="1" si="44"/>
        <v>0.95123900879296563</v>
      </c>
      <c r="H411" s="3">
        <f t="shared" ca="1" si="45"/>
        <v>0.28389288569144683</v>
      </c>
      <c r="I411" s="3">
        <f t="shared" ca="1" si="46"/>
        <v>82.317729301948049</v>
      </c>
      <c r="J411" s="3">
        <f t="shared" ca="1" si="47"/>
        <v>8.522306092436974</v>
      </c>
      <c r="K411" s="3">
        <f t="shared" ca="1" si="48"/>
        <v>28.555664507954386</v>
      </c>
    </row>
    <row r="412" spans="3:11" x14ac:dyDescent="0.35">
      <c r="C412" t="str">
        <f t="shared" ca="1" si="42"/>
        <v>3Q2021</v>
      </c>
      <c r="D412" vm="816">
        <f ca="1"/>
        <v>44538</v>
      </c>
      <c r="E412" vm="817">
        <f ca="1"/>
        <v>31.826000000000001</v>
      </c>
      <c r="F412" s="3">
        <f t="shared" ca="1" si="43"/>
        <v>9.8481215027977617E-2</v>
      </c>
      <c r="G412" s="3">
        <f t="shared" ca="1" si="44"/>
        <v>0.95123900879296563</v>
      </c>
      <c r="H412" s="3">
        <f t="shared" ca="1" si="45"/>
        <v>0.28389288569144683</v>
      </c>
      <c r="I412" s="3">
        <f t="shared" ca="1" si="46"/>
        <v>80.792057629870129</v>
      </c>
      <c r="J412" s="3">
        <f t="shared" ca="1" si="47"/>
        <v>8.3643542016806727</v>
      </c>
      <c r="K412" s="3">
        <f t="shared" ca="1" si="48"/>
        <v>28.026415599042661</v>
      </c>
    </row>
    <row r="413" spans="3:11" x14ac:dyDescent="0.35">
      <c r="C413" t="str">
        <f t="shared" ca="1" si="42"/>
        <v>3Q2021</v>
      </c>
      <c r="D413" vm="818">
        <f ca="1"/>
        <v>44539</v>
      </c>
      <c r="E413" vm="819">
        <f ca="1"/>
        <v>30.49</v>
      </c>
      <c r="F413" s="3">
        <f t="shared" ca="1" si="43"/>
        <v>9.8481215027977617E-2</v>
      </c>
      <c r="G413" s="3">
        <f t="shared" ca="1" si="44"/>
        <v>0.95123900879296563</v>
      </c>
      <c r="H413" s="3">
        <f t="shared" ca="1" si="45"/>
        <v>0.28389288569144683</v>
      </c>
      <c r="I413" s="3">
        <f t="shared" ca="1" si="46"/>
        <v>77.40054788961038</v>
      </c>
      <c r="J413" s="3">
        <f t="shared" ca="1" si="47"/>
        <v>8.0132331932773102</v>
      </c>
      <c r="K413" s="3">
        <f t="shared" ca="1" si="48"/>
        <v>26.849915528649866</v>
      </c>
    </row>
    <row r="414" spans="3:11" x14ac:dyDescent="0.35">
      <c r="C414" t="str">
        <f t="shared" ca="1" si="42"/>
        <v>3Q2021</v>
      </c>
      <c r="D414" vm="820">
        <f ca="1"/>
        <v>44540</v>
      </c>
      <c r="E414" vm="821">
        <f ca="1"/>
        <v>30.198</v>
      </c>
      <c r="F414" s="3">
        <f t="shared" ca="1" si="43"/>
        <v>9.8481215027977617E-2</v>
      </c>
      <c r="G414" s="3">
        <f t="shared" ca="1" si="44"/>
        <v>0.95123900879296563</v>
      </c>
      <c r="H414" s="3">
        <f t="shared" ca="1" si="45"/>
        <v>0.28389288569144683</v>
      </c>
      <c r="I414" s="3">
        <f t="shared" ca="1" si="46"/>
        <v>76.659289772727277</v>
      </c>
      <c r="J414" s="3">
        <f t="shared" ca="1" si="47"/>
        <v>7.9364911764705885</v>
      </c>
      <c r="K414" s="3">
        <f t="shared" ca="1" si="48"/>
        <v>26.592776291707732</v>
      </c>
    </row>
    <row r="415" spans="3:11" x14ac:dyDescent="0.35">
      <c r="C415" t="str">
        <f t="shared" ca="1" si="42"/>
        <v>3Q2021</v>
      </c>
      <c r="D415" vm="822">
        <f ca="1"/>
        <v>44543</v>
      </c>
      <c r="E415" vm="823">
        <f ca="1"/>
        <v>28.161000000000001</v>
      </c>
      <c r="F415" s="3">
        <f t="shared" ca="1" si="43"/>
        <v>9.8481215027977617E-2</v>
      </c>
      <c r="G415" s="3">
        <f t="shared" ca="1" si="44"/>
        <v>0.95123900879296563</v>
      </c>
      <c r="H415" s="3">
        <f t="shared" ca="1" si="45"/>
        <v>0.28389288569144683</v>
      </c>
      <c r="I415" s="3">
        <f t="shared" ca="1" si="46"/>
        <v>71.488252840909098</v>
      </c>
      <c r="J415" s="3">
        <f t="shared" ca="1" si="47"/>
        <v>7.4011367647058828</v>
      </c>
      <c r="K415" s="3">
        <f t="shared" ca="1" si="48"/>
        <v>24.79896592988878</v>
      </c>
    </row>
    <row r="416" spans="3:11" x14ac:dyDescent="0.35">
      <c r="C416" t="str">
        <f t="shared" ca="1" si="42"/>
        <v>3Q2021</v>
      </c>
      <c r="D416" vm="824">
        <f ca="1"/>
        <v>44544</v>
      </c>
      <c r="E416" vm="825">
        <f ca="1"/>
        <v>28.337</v>
      </c>
      <c r="F416" s="3">
        <f t="shared" ca="1" si="43"/>
        <v>9.8481215027977617E-2</v>
      </c>
      <c r="G416" s="3">
        <f t="shared" ca="1" si="44"/>
        <v>0.95123900879296563</v>
      </c>
      <c r="H416" s="3">
        <f t="shared" ca="1" si="45"/>
        <v>0.28389288569144683</v>
      </c>
      <c r="I416" s="3">
        <f t="shared" ca="1" si="46"/>
        <v>71.935038555194808</v>
      </c>
      <c r="J416" s="3">
        <f t="shared" ca="1" si="47"/>
        <v>7.4473922268907558</v>
      </c>
      <c r="K416" s="3">
        <f t="shared" ca="1" si="48"/>
        <v>24.953953963114177</v>
      </c>
    </row>
    <row r="417" spans="3:11" x14ac:dyDescent="0.35">
      <c r="C417" t="str">
        <f t="shared" ca="1" si="42"/>
        <v>3Q2021</v>
      </c>
      <c r="D417" vm="826">
        <f ca="1"/>
        <v>44545</v>
      </c>
      <c r="E417" vm="827">
        <f ca="1"/>
        <v>30.459</v>
      </c>
      <c r="F417" s="3">
        <f t="shared" ca="1" si="43"/>
        <v>9.8481215027977617E-2</v>
      </c>
      <c r="G417" s="3">
        <f t="shared" ca="1" si="44"/>
        <v>0.95123900879296563</v>
      </c>
      <c r="H417" s="3">
        <f t="shared" ca="1" si="45"/>
        <v>0.28389288569144683</v>
      </c>
      <c r="I417" s="3">
        <f t="shared" ca="1" si="46"/>
        <v>77.321852678571432</v>
      </c>
      <c r="J417" s="3">
        <f t="shared" ca="1" si="47"/>
        <v>8.0050859243697481</v>
      </c>
      <c r="K417" s="3">
        <f t="shared" ca="1" si="48"/>
        <v>26.822616500070392</v>
      </c>
    </row>
    <row r="418" spans="3:11" x14ac:dyDescent="0.35">
      <c r="C418" t="str">
        <f t="shared" ca="1" si="42"/>
        <v>3Q2021</v>
      </c>
      <c r="D418" vm="828">
        <f ca="1"/>
        <v>44546</v>
      </c>
      <c r="E418" vm="829">
        <f ca="1"/>
        <v>28.387</v>
      </c>
      <c r="F418" s="3">
        <f t="shared" ca="1" si="43"/>
        <v>9.8481215027977617E-2</v>
      </c>
      <c r="G418" s="3">
        <f t="shared" ca="1" si="44"/>
        <v>0.95123900879296563</v>
      </c>
      <c r="H418" s="3">
        <f t="shared" ca="1" si="45"/>
        <v>0.28389288569144683</v>
      </c>
      <c r="I418" s="3">
        <f t="shared" ca="1" si="46"/>
        <v>72.061966314935063</v>
      </c>
      <c r="J418" s="3">
        <f t="shared" ca="1" si="47"/>
        <v>7.4605329831932776</v>
      </c>
      <c r="K418" s="3">
        <f t="shared" ca="1" si="48"/>
        <v>24.997984654371393</v>
      </c>
    </row>
    <row r="419" spans="3:11" x14ac:dyDescent="0.35">
      <c r="C419" t="str">
        <f t="shared" ca="1" si="42"/>
        <v>3Q2021</v>
      </c>
      <c r="D419" vm="830">
        <f ca="1"/>
        <v>44547</v>
      </c>
      <c r="E419" vm="831">
        <f ca="1"/>
        <v>27.800999999999998</v>
      </c>
      <c r="F419" s="3">
        <f t="shared" ca="1" si="43"/>
        <v>9.8481215027977617E-2</v>
      </c>
      <c r="G419" s="3">
        <f t="shared" ca="1" si="44"/>
        <v>0.95123900879296563</v>
      </c>
      <c r="H419" s="3">
        <f t="shared" ca="1" si="45"/>
        <v>0.28389288569144683</v>
      </c>
      <c r="I419" s="3">
        <f t="shared" ca="1" si="46"/>
        <v>70.574372970779223</v>
      </c>
      <c r="J419" s="3">
        <f t="shared" ca="1" si="47"/>
        <v>7.3065233193277308</v>
      </c>
      <c r="K419" s="3">
        <f t="shared" ca="1" si="48"/>
        <v>24.48194495283683</v>
      </c>
    </row>
    <row r="420" spans="3:11" x14ac:dyDescent="0.35">
      <c r="C420" t="str">
        <f t="shared" ca="1" si="42"/>
        <v>3Q2021</v>
      </c>
      <c r="D420" vm="832">
        <f ca="1"/>
        <v>44550</v>
      </c>
      <c r="E420" vm="833">
        <f ca="1"/>
        <v>27.719000000000001</v>
      </c>
      <c r="F420" s="3">
        <f t="shared" ca="1" si="43"/>
        <v>9.8481215027977617E-2</v>
      </c>
      <c r="G420" s="3">
        <f t="shared" ca="1" si="44"/>
        <v>0.95123900879296563</v>
      </c>
      <c r="H420" s="3">
        <f t="shared" ca="1" si="45"/>
        <v>0.28389288569144683</v>
      </c>
      <c r="I420" s="3">
        <f t="shared" ca="1" si="46"/>
        <v>70.366211444805202</v>
      </c>
      <c r="J420" s="3">
        <f t="shared" ca="1" si="47"/>
        <v>7.2849724789915973</v>
      </c>
      <c r="K420" s="3">
        <f t="shared" ca="1" si="48"/>
        <v>24.409734619174998</v>
      </c>
    </row>
    <row r="421" spans="3:11" x14ac:dyDescent="0.35">
      <c r="C421" t="str">
        <f t="shared" ca="1" si="42"/>
        <v>3Q2021</v>
      </c>
      <c r="D421" vm="834">
        <f ca="1"/>
        <v>44551</v>
      </c>
      <c r="E421" vm="835">
        <f ca="1"/>
        <v>29.074999999999999</v>
      </c>
      <c r="F421" s="3">
        <f t="shared" ca="1" si="43"/>
        <v>9.8481215027977617E-2</v>
      </c>
      <c r="G421" s="3">
        <f t="shared" ca="1" si="44"/>
        <v>0.95123900879296563</v>
      </c>
      <c r="H421" s="3">
        <f t="shared" ca="1" si="45"/>
        <v>0.28389288569144683</v>
      </c>
      <c r="I421" s="3">
        <f t="shared" ca="1" si="46"/>
        <v>73.808492288961034</v>
      </c>
      <c r="J421" s="3">
        <f t="shared" ca="1" si="47"/>
        <v>7.6413497899159664</v>
      </c>
      <c r="K421" s="3">
        <f t="shared" ca="1" si="48"/>
        <v>25.603846966070677</v>
      </c>
    </row>
    <row r="422" spans="3:11" x14ac:dyDescent="0.35">
      <c r="C422" t="str">
        <f t="shared" ca="1" si="42"/>
        <v>3Q2021</v>
      </c>
      <c r="D422" vm="836">
        <f ca="1"/>
        <v>44552</v>
      </c>
      <c r="E422" vm="837">
        <f ca="1"/>
        <v>29.4</v>
      </c>
      <c r="F422" s="3">
        <f t="shared" ca="1" si="43"/>
        <v>9.8481215027977617E-2</v>
      </c>
      <c r="G422" s="3">
        <f t="shared" ca="1" si="44"/>
        <v>0.95123900879296563</v>
      </c>
      <c r="H422" s="3">
        <f t="shared" ca="1" si="45"/>
        <v>0.28389288569144683</v>
      </c>
      <c r="I422" s="3">
        <f t="shared" ca="1" si="46"/>
        <v>74.63352272727272</v>
      </c>
      <c r="J422" s="3">
        <f t="shared" ca="1" si="47"/>
        <v>7.7267647058823528</v>
      </c>
      <c r="K422" s="3">
        <f t="shared" ca="1" si="48"/>
        <v>25.890046459242573</v>
      </c>
    </row>
    <row r="423" spans="3:11" x14ac:dyDescent="0.35">
      <c r="C423" t="str">
        <f t="shared" ca="1" si="42"/>
        <v>3Q2021</v>
      </c>
      <c r="D423" vm="838">
        <f ca="1"/>
        <v>44553</v>
      </c>
      <c r="E423" vm="839">
        <f ca="1"/>
        <v>29.64</v>
      </c>
      <c r="F423" s="3">
        <f t="shared" ca="1" si="43"/>
        <v>9.8481215027977617E-2</v>
      </c>
      <c r="G423" s="3">
        <f t="shared" ca="1" si="44"/>
        <v>0.95123900879296563</v>
      </c>
      <c r="H423" s="3">
        <f t="shared" ca="1" si="45"/>
        <v>0.28389288569144683</v>
      </c>
      <c r="I423" s="3">
        <f t="shared" ca="1" si="46"/>
        <v>75.242775974025975</v>
      </c>
      <c r="J423" s="3">
        <f t="shared" ca="1" si="47"/>
        <v>7.7898403361344535</v>
      </c>
      <c r="K423" s="3">
        <f t="shared" ca="1" si="48"/>
        <v>26.10139377727721</v>
      </c>
    </row>
    <row r="424" spans="3:11" x14ac:dyDescent="0.35">
      <c r="C424" t="str">
        <f t="shared" ca="1" si="42"/>
        <v>3Q2021</v>
      </c>
      <c r="D424" vm="840">
        <f ca="1"/>
        <v>44557</v>
      </c>
      <c r="E424" vm="841">
        <f ca="1"/>
        <v>30.945</v>
      </c>
      <c r="F424" s="3">
        <f t="shared" ca="1" si="43"/>
        <v>9.8481215027977617E-2</v>
      </c>
      <c r="G424" s="3">
        <f t="shared" ca="1" si="44"/>
        <v>0.95123900879296563</v>
      </c>
      <c r="H424" s="3">
        <f t="shared" ca="1" si="45"/>
        <v>0.28389288569144683</v>
      </c>
      <c r="I424" s="3">
        <f t="shared" ca="1" si="46"/>
        <v>78.555590503246748</v>
      </c>
      <c r="J424" s="3">
        <f t="shared" ca="1" si="47"/>
        <v>8.132814075630252</v>
      </c>
      <c r="K424" s="3">
        <f t="shared" ca="1" si="48"/>
        <v>27.250594819090526</v>
      </c>
    </row>
    <row r="425" spans="3:11" x14ac:dyDescent="0.35">
      <c r="C425" t="str">
        <f t="shared" ca="1" si="42"/>
        <v>3Q2021</v>
      </c>
      <c r="D425" vm="842">
        <f ca="1"/>
        <v>44558</v>
      </c>
      <c r="E425" vm="843">
        <f ca="1"/>
        <v>30.321999999999999</v>
      </c>
      <c r="F425" s="3">
        <f t="shared" ca="1" si="43"/>
        <v>9.8481215027977617E-2</v>
      </c>
      <c r="G425" s="3">
        <f t="shared" ca="1" si="44"/>
        <v>0.95123900879296563</v>
      </c>
      <c r="H425" s="3">
        <f t="shared" ca="1" si="45"/>
        <v>0.28389288569144683</v>
      </c>
      <c r="I425" s="3">
        <f t="shared" ca="1" si="46"/>
        <v>76.974070616883111</v>
      </c>
      <c r="J425" s="3">
        <f t="shared" ca="1" si="47"/>
        <v>7.9690802521008397</v>
      </c>
      <c r="K425" s="3">
        <f t="shared" ca="1" si="48"/>
        <v>26.701972406025625</v>
      </c>
    </row>
    <row r="426" spans="3:11" x14ac:dyDescent="0.35">
      <c r="C426" t="str">
        <f t="shared" ca="1" si="42"/>
        <v>3Q2021</v>
      </c>
      <c r="D426" vm="844">
        <f ca="1"/>
        <v>44559</v>
      </c>
      <c r="E426" vm="845">
        <f ca="1"/>
        <v>30.001000000000001</v>
      </c>
      <c r="F426" s="3">
        <f t="shared" ca="1" si="43"/>
        <v>9.8481215027977617E-2</v>
      </c>
      <c r="G426" s="3">
        <f t="shared" ca="1" si="44"/>
        <v>0.95123900879296563</v>
      </c>
      <c r="H426" s="3">
        <f t="shared" ca="1" si="45"/>
        <v>0.28389288569144683</v>
      </c>
      <c r="I426" s="3">
        <f t="shared" ca="1" si="46"/>
        <v>76.159194399350653</v>
      </c>
      <c r="J426" s="3">
        <f t="shared" ca="1" si="47"/>
        <v>7.8847165966386559</v>
      </c>
      <c r="K426" s="3">
        <f t="shared" ca="1" si="48"/>
        <v>26.419295368154302</v>
      </c>
    </row>
    <row r="427" spans="3:11" x14ac:dyDescent="0.35">
      <c r="C427" t="str">
        <f t="shared" ca="1" si="42"/>
        <v>3Q2021</v>
      </c>
      <c r="D427" vm="846">
        <f ca="1"/>
        <v>44560</v>
      </c>
      <c r="E427" vm="847">
        <f ca="1"/>
        <v>29.585999999999999</v>
      </c>
      <c r="F427" s="3">
        <f t="shared" ca="1" si="43"/>
        <v>9.8481215027977617E-2</v>
      </c>
      <c r="G427" s="3">
        <f t="shared" ca="1" si="44"/>
        <v>0.95123900879296563</v>
      </c>
      <c r="H427" s="3">
        <f t="shared" ca="1" si="45"/>
        <v>0.28389288569144683</v>
      </c>
      <c r="I427" s="3">
        <f t="shared" ca="1" si="46"/>
        <v>75.105693993506492</v>
      </c>
      <c r="J427" s="3">
        <f t="shared" ca="1" si="47"/>
        <v>7.7756483193277308</v>
      </c>
      <c r="K427" s="3">
        <f t="shared" ca="1" si="48"/>
        <v>26.053840630719414</v>
      </c>
    </row>
    <row r="428" spans="3:11" x14ac:dyDescent="0.35">
      <c r="C428" t="str">
        <f t="shared" ca="1" si="42"/>
        <v>3Q2021</v>
      </c>
      <c r="D428" vm="848">
        <f ca="1"/>
        <v>44561</v>
      </c>
      <c r="E428" vm="849">
        <f ca="1"/>
        <v>29.411000000000001</v>
      </c>
      <c r="F428" s="3">
        <f t="shared" ca="1" si="43"/>
        <v>9.8481215027977617E-2</v>
      </c>
      <c r="G428" s="3">
        <f t="shared" ca="1" si="44"/>
        <v>0.95123900879296563</v>
      </c>
      <c r="H428" s="3">
        <f t="shared" ca="1" si="45"/>
        <v>0.28389288569144683</v>
      </c>
      <c r="I428" s="3">
        <f t="shared" ca="1" si="46"/>
        <v>74.661446834415585</v>
      </c>
      <c r="J428" s="3">
        <f t="shared" ca="1" si="47"/>
        <v>7.7296556722689083</v>
      </c>
      <c r="K428" s="3">
        <f t="shared" ca="1" si="48"/>
        <v>25.899733211319163</v>
      </c>
    </row>
    <row r="429" spans="3:11" x14ac:dyDescent="0.35">
      <c r="C429" t="str">
        <f t="shared" ca="1" si="42"/>
        <v>3Q2021</v>
      </c>
      <c r="D429" vm="850">
        <f ca="1"/>
        <v>44564</v>
      </c>
      <c r="E429" vm="851">
        <f ca="1"/>
        <v>30.120999999999999</v>
      </c>
      <c r="F429" s="3">
        <f t="shared" ca="1" si="43"/>
        <v>9.8481215027977617E-2</v>
      </c>
      <c r="G429" s="3">
        <f t="shared" ca="1" si="44"/>
        <v>0.95123900879296563</v>
      </c>
      <c r="H429" s="3">
        <f t="shared" ca="1" si="45"/>
        <v>0.28389288569144683</v>
      </c>
      <c r="I429" s="3">
        <f t="shared" ca="1" si="46"/>
        <v>76.463821022727274</v>
      </c>
      <c r="J429" s="3">
        <f t="shared" ca="1" si="47"/>
        <v>7.9162544117647053</v>
      </c>
      <c r="K429" s="3">
        <f t="shared" ca="1" si="48"/>
        <v>26.524969027171618</v>
      </c>
    </row>
    <row r="430" spans="3:11" x14ac:dyDescent="0.35">
      <c r="C430" t="str">
        <f t="shared" ca="1" si="42"/>
        <v>3Q2021</v>
      </c>
      <c r="D430" vm="852">
        <f ca="1"/>
        <v>44565</v>
      </c>
      <c r="E430" vm="853">
        <f ca="1"/>
        <v>29.29</v>
      </c>
      <c r="F430" s="3">
        <f t="shared" ca="1" si="43"/>
        <v>9.8481215027977617E-2</v>
      </c>
      <c r="G430" s="3">
        <f t="shared" ca="1" si="44"/>
        <v>0.95123900879296563</v>
      </c>
      <c r="H430" s="3">
        <f t="shared" ca="1" si="45"/>
        <v>0.28389288569144683</v>
      </c>
      <c r="I430" s="3">
        <f t="shared" ca="1" si="46"/>
        <v>74.354281655844147</v>
      </c>
      <c r="J430" s="3">
        <f t="shared" ca="1" si="47"/>
        <v>7.6978550420168066</v>
      </c>
      <c r="K430" s="3">
        <f t="shared" ca="1" si="48"/>
        <v>25.7931789384767</v>
      </c>
    </row>
    <row r="431" spans="3:11" x14ac:dyDescent="0.35">
      <c r="C431" t="str">
        <f t="shared" ca="1" si="42"/>
        <v>3Q2021</v>
      </c>
      <c r="D431" vm="854">
        <f ca="1"/>
        <v>44566</v>
      </c>
      <c r="E431" vm="855">
        <f ca="1"/>
        <v>27.603999999999999</v>
      </c>
      <c r="F431" s="3">
        <f t="shared" ca="1" si="43"/>
        <v>9.8481215027977617E-2</v>
      </c>
      <c r="G431" s="3">
        <f t="shared" ca="1" si="44"/>
        <v>0.95123900879296563</v>
      </c>
      <c r="H431" s="3">
        <f t="shared" ca="1" si="45"/>
        <v>0.28389288569144683</v>
      </c>
      <c r="I431" s="3">
        <f t="shared" ca="1" si="46"/>
        <v>70.074277597402599</v>
      </c>
      <c r="J431" s="3">
        <f t="shared" ca="1" si="47"/>
        <v>7.2547487394957981</v>
      </c>
      <c r="K431" s="3">
        <f t="shared" ca="1" si="48"/>
        <v>24.308464029283403</v>
      </c>
    </row>
    <row r="432" spans="3:11" x14ac:dyDescent="0.35">
      <c r="C432" t="str">
        <f t="shared" ca="1" si="42"/>
        <v>3Q2021</v>
      </c>
      <c r="D432" vm="856">
        <f ca="1"/>
        <v>44567</v>
      </c>
      <c r="E432" vm="857">
        <f ca="1"/>
        <v>28.178000000000001</v>
      </c>
      <c r="F432" s="3">
        <f t="shared" ca="1" si="43"/>
        <v>9.8481215027977617E-2</v>
      </c>
      <c r="G432" s="3">
        <f t="shared" ca="1" si="44"/>
        <v>0.95123900879296563</v>
      </c>
      <c r="H432" s="3">
        <f t="shared" ca="1" si="45"/>
        <v>0.28389288569144683</v>
      </c>
      <c r="I432" s="3">
        <f t="shared" ca="1" si="46"/>
        <v>71.531408279220784</v>
      </c>
      <c r="J432" s="3">
        <f t="shared" ca="1" si="47"/>
        <v>7.4056046218487399</v>
      </c>
      <c r="K432" s="3">
        <f t="shared" ca="1" si="48"/>
        <v>24.813936364916234</v>
      </c>
    </row>
    <row r="433" spans="3:11" x14ac:dyDescent="0.35">
      <c r="C433" t="str">
        <f t="shared" ca="1" si="42"/>
        <v>3Q2021</v>
      </c>
      <c r="D433" vm="858">
        <f ca="1"/>
        <v>44568</v>
      </c>
      <c r="E433" vm="859">
        <f ca="1"/>
        <v>27.247</v>
      </c>
      <c r="F433" s="3">
        <f t="shared" ca="1" si="43"/>
        <v>9.8481215027977617E-2</v>
      </c>
      <c r="G433" s="3">
        <f t="shared" ca="1" si="44"/>
        <v>0.95123900879296563</v>
      </c>
      <c r="H433" s="3">
        <f t="shared" ca="1" si="45"/>
        <v>0.28389288569144683</v>
      </c>
      <c r="I433" s="3">
        <f t="shared" ca="1" si="46"/>
        <v>69.168013392857148</v>
      </c>
      <c r="J433" s="3">
        <f t="shared" ca="1" si="47"/>
        <v>7.1609237394957983</v>
      </c>
      <c r="K433" s="3">
        <f t="shared" ca="1" si="48"/>
        <v>23.994084893706887</v>
      </c>
    </row>
    <row r="434" spans="3:11" x14ac:dyDescent="0.35">
      <c r="C434" t="str">
        <f t="shared" ca="1" si="42"/>
        <v>3Q2021</v>
      </c>
      <c r="D434" vm="860">
        <f ca="1"/>
        <v>44571</v>
      </c>
      <c r="E434" vm="861">
        <f ca="1"/>
        <v>27.4</v>
      </c>
      <c r="F434" s="3">
        <f t="shared" ca="1" si="43"/>
        <v>9.8481215027977617E-2</v>
      </c>
      <c r="G434" s="3">
        <f t="shared" ca="1" si="44"/>
        <v>0.95123900879296563</v>
      </c>
      <c r="H434" s="3">
        <f t="shared" ca="1" si="45"/>
        <v>0.28389288569144683</v>
      </c>
      <c r="I434" s="3">
        <f t="shared" ca="1" si="46"/>
        <v>69.556412337662337</v>
      </c>
      <c r="J434" s="3">
        <f t="shared" ca="1" si="47"/>
        <v>7.2011344537815125</v>
      </c>
      <c r="K434" s="3">
        <f t="shared" ca="1" si="48"/>
        <v>24.128818808953962</v>
      </c>
    </row>
    <row r="435" spans="3:11" x14ac:dyDescent="0.35">
      <c r="C435" t="str">
        <f t="shared" ca="1" si="42"/>
        <v>3Q2021</v>
      </c>
      <c r="D435" vm="862">
        <f ca="1"/>
        <v>44572</v>
      </c>
      <c r="E435" vm="863">
        <f ca="1"/>
        <v>27.817</v>
      </c>
      <c r="F435" s="3">
        <f t="shared" ca="1" si="43"/>
        <v>9.8481215027977617E-2</v>
      </c>
      <c r="G435" s="3">
        <f t="shared" ca="1" si="44"/>
        <v>0.95123900879296563</v>
      </c>
      <c r="H435" s="3">
        <f t="shared" ca="1" si="45"/>
        <v>0.28389288569144683</v>
      </c>
      <c r="I435" s="3">
        <f t="shared" ca="1" si="46"/>
        <v>70.614989853896105</v>
      </c>
      <c r="J435" s="3">
        <f t="shared" ca="1" si="47"/>
        <v>7.3107283613445375</v>
      </c>
      <c r="K435" s="3">
        <f t="shared" ca="1" si="48"/>
        <v>24.496034774039138</v>
      </c>
    </row>
    <row r="436" spans="3:11" x14ac:dyDescent="0.35">
      <c r="C436" t="str">
        <f t="shared" ca="1" si="42"/>
        <v>3Q2021</v>
      </c>
      <c r="D436" vm="864">
        <f ca="1"/>
        <v>44573</v>
      </c>
      <c r="E436" vm="865">
        <f ca="1"/>
        <v>27.998999999999999</v>
      </c>
      <c r="F436" s="3">
        <f t="shared" ca="1" si="43"/>
        <v>9.8481215027977617E-2</v>
      </c>
      <c r="G436" s="3">
        <f t="shared" ca="1" si="44"/>
        <v>0.95123900879296563</v>
      </c>
      <c r="H436" s="3">
        <f t="shared" ca="1" si="45"/>
        <v>0.28389288569144683</v>
      </c>
      <c r="I436" s="3">
        <f t="shared" ca="1" si="46"/>
        <v>71.07700689935065</v>
      </c>
      <c r="J436" s="3">
        <f t="shared" ca="1" si="47"/>
        <v>7.3585607142857139</v>
      </c>
      <c r="K436" s="3">
        <f t="shared" ca="1" si="48"/>
        <v>24.656306490215403</v>
      </c>
    </row>
    <row r="437" spans="3:11" x14ac:dyDescent="0.35">
      <c r="C437" t="str">
        <f t="shared" ca="1" si="42"/>
        <v>3Q2021</v>
      </c>
      <c r="D437" vm="866">
        <f ca="1"/>
        <v>44574</v>
      </c>
      <c r="E437" vm="867">
        <f ca="1"/>
        <v>26.574999999999999</v>
      </c>
      <c r="F437" s="3">
        <f t="shared" ca="1" si="43"/>
        <v>9.8481215027977617E-2</v>
      </c>
      <c r="G437" s="3">
        <f t="shared" ca="1" si="44"/>
        <v>0.95123900879296563</v>
      </c>
      <c r="H437" s="3">
        <f t="shared" ca="1" si="45"/>
        <v>0.28389288569144683</v>
      </c>
      <c r="I437" s="3">
        <f t="shared" ca="1" si="46"/>
        <v>67.462104301948045</v>
      </c>
      <c r="J437" s="3">
        <f t="shared" ca="1" si="47"/>
        <v>6.9843119747899154</v>
      </c>
      <c r="K437" s="3">
        <f t="shared" ca="1" si="48"/>
        <v>23.402312403209912</v>
      </c>
    </row>
    <row r="438" spans="3:11" x14ac:dyDescent="0.35">
      <c r="C438" t="str">
        <f t="shared" ca="1" si="42"/>
        <v>3Q2021</v>
      </c>
      <c r="D438" vm="868">
        <f ca="1"/>
        <v>44575</v>
      </c>
      <c r="E438" vm="869">
        <f ca="1"/>
        <v>26.942</v>
      </c>
      <c r="F438" s="3">
        <f t="shared" ca="1" si="43"/>
        <v>9.8481215027977617E-2</v>
      </c>
      <c r="G438" s="3">
        <f t="shared" ca="1" si="44"/>
        <v>0.95123900879296563</v>
      </c>
      <c r="H438" s="3">
        <f t="shared" ca="1" si="45"/>
        <v>0.28389288569144683</v>
      </c>
      <c r="I438" s="3">
        <f t="shared" ca="1" si="46"/>
        <v>68.393754058441559</v>
      </c>
      <c r="J438" s="3">
        <f t="shared" ca="1" si="47"/>
        <v>7.0807651260504203</v>
      </c>
      <c r="K438" s="3">
        <f t="shared" ca="1" si="48"/>
        <v>23.725497677037872</v>
      </c>
    </row>
    <row r="439" spans="3:11" x14ac:dyDescent="0.35">
      <c r="C439" t="str">
        <f t="shared" ca="1" si="42"/>
        <v>3Q2021</v>
      </c>
      <c r="D439" vm="870">
        <f ca="1"/>
        <v>44579</v>
      </c>
      <c r="E439" vm="871">
        <f ca="1"/>
        <v>25.902999999999999</v>
      </c>
      <c r="F439" s="3">
        <f t="shared" ca="1" si="43"/>
        <v>9.8481215027977617E-2</v>
      </c>
      <c r="G439" s="3">
        <f t="shared" ca="1" si="44"/>
        <v>0.95123900879296563</v>
      </c>
      <c r="H439" s="3">
        <f t="shared" ca="1" si="45"/>
        <v>0.28389288569144683</v>
      </c>
      <c r="I439" s="3">
        <f t="shared" ca="1" si="46"/>
        <v>65.756195211038957</v>
      </c>
      <c r="J439" s="3">
        <f t="shared" ca="1" si="47"/>
        <v>6.8077002100840334</v>
      </c>
      <c r="K439" s="3">
        <f t="shared" ca="1" si="48"/>
        <v>22.810539912712937</v>
      </c>
    </row>
    <row r="440" spans="3:11" x14ac:dyDescent="0.35">
      <c r="C440" t="str">
        <f t="shared" ca="1" si="42"/>
        <v>3Q2021</v>
      </c>
      <c r="D440" vm="872">
        <f ca="1"/>
        <v>44580</v>
      </c>
      <c r="E440" vm="873">
        <f ca="1"/>
        <v>25.067</v>
      </c>
      <c r="F440" s="3">
        <f t="shared" ca="1" si="43"/>
        <v>9.8481215027977617E-2</v>
      </c>
      <c r="G440" s="3">
        <f t="shared" ca="1" si="44"/>
        <v>0.95123900879296563</v>
      </c>
      <c r="H440" s="3">
        <f t="shared" ca="1" si="45"/>
        <v>0.28389288569144683</v>
      </c>
      <c r="I440" s="3">
        <f t="shared" ca="1" si="46"/>
        <v>63.633963068181821</v>
      </c>
      <c r="J440" s="3">
        <f t="shared" ca="1" si="47"/>
        <v>6.5879867647058825</v>
      </c>
      <c r="K440" s="3">
        <f t="shared" ca="1" si="48"/>
        <v>22.0743467548923</v>
      </c>
    </row>
    <row r="441" spans="3:11" x14ac:dyDescent="0.35">
      <c r="C441" t="str">
        <f t="shared" ca="1" si="42"/>
        <v>3Q2021</v>
      </c>
      <c r="D441" vm="874">
        <f ca="1"/>
        <v>44581</v>
      </c>
      <c r="E441" vm="875">
        <f ca="1"/>
        <v>24.15</v>
      </c>
      <c r="F441" s="3">
        <f t="shared" ca="1" si="43"/>
        <v>9.8481215027977617E-2</v>
      </c>
      <c r="G441" s="3">
        <f t="shared" ca="1" si="44"/>
        <v>0.95123900879296563</v>
      </c>
      <c r="H441" s="3">
        <f t="shared" ca="1" si="45"/>
        <v>0.28389288569144683</v>
      </c>
      <c r="I441" s="3">
        <f t="shared" ca="1" si="46"/>
        <v>61.306107954545453</v>
      </c>
      <c r="J441" s="3">
        <f t="shared" ca="1" si="47"/>
        <v>6.3469852941176468</v>
      </c>
      <c r="K441" s="3">
        <f t="shared" ca="1" si="48"/>
        <v>21.26682387723497</v>
      </c>
    </row>
    <row r="442" spans="3:11" x14ac:dyDescent="0.35">
      <c r="C442" t="str">
        <f t="shared" ca="1" si="42"/>
        <v>3Q2021</v>
      </c>
      <c r="D442" vm="876">
        <f ca="1"/>
        <v>44582</v>
      </c>
      <c r="E442" vm="877">
        <f ca="1"/>
        <v>23.373999999999999</v>
      </c>
      <c r="F442" s="3">
        <f t="shared" ca="1" si="43"/>
        <v>9.8481215027977617E-2</v>
      </c>
      <c r="G442" s="3">
        <f t="shared" ca="1" si="44"/>
        <v>0.95123900879296563</v>
      </c>
      <c r="H442" s="3">
        <f t="shared" ca="1" si="45"/>
        <v>0.28389288569144683</v>
      </c>
      <c r="I442" s="3">
        <f t="shared" ca="1" si="46"/>
        <v>59.33618912337662</v>
      </c>
      <c r="J442" s="3">
        <f t="shared" ca="1" si="47"/>
        <v>6.1430407563025202</v>
      </c>
      <c r="K442" s="3">
        <f t="shared" ca="1" si="48"/>
        <v>20.583467548922989</v>
      </c>
    </row>
    <row r="443" spans="3:11" x14ac:dyDescent="0.35">
      <c r="C443" t="str">
        <f t="shared" ca="1" si="42"/>
        <v>3Q2021</v>
      </c>
      <c r="D443" vm="878">
        <f ca="1"/>
        <v>44585</v>
      </c>
      <c r="E443" vm="879">
        <f ca="1"/>
        <v>23.372</v>
      </c>
      <c r="F443" s="3">
        <f t="shared" ca="1" si="43"/>
        <v>9.8481215027977617E-2</v>
      </c>
      <c r="G443" s="3">
        <f t="shared" ca="1" si="44"/>
        <v>0.95123900879296563</v>
      </c>
      <c r="H443" s="3">
        <f t="shared" ca="1" si="45"/>
        <v>0.28389288569144683</v>
      </c>
      <c r="I443" s="3">
        <f t="shared" ca="1" si="46"/>
        <v>59.331112012987013</v>
      </c>
      <c r="J443" s="3">
        <f t="shared" ca="1" si="47"/>
        <v>6.1425151260504203</v>
      </c>
      <c r="K443" s="3">
        <f t="shared" ca="1" si="48"/>
        <v>20.581706321272701</v>
      </c>
    </row>
    <row r="444" spans="3:11" x14ac:dyDescent="0.35">
      <c r="C444" t="str">
        <f t="shared" ca="1" si="42"/>
        <v>3Q2021</v>
      </c>
      <c r="D444" vm="880">
        <f ca="1"/>
        <v>44586</v>
      </c>
      <c r="E444" vm="881">
        <f ca="1"/>
        <v>22.324000000000002</v>
      </c>
      <c r="F444" s="3">
        <f t="shared" ca="1" si="43"/>
        <v>9.8481215027977617E-2</v>
      </c>
      <c r="G444" s="3">
        <f t="shared" ca="1" si="44"/>
        <v>0.95123900879296563</v>
      </c>
      <c r="H444" s="3">
        <f t="shared" ca="1" si="45"/>
        <v>0.28389288569144683</v>
      </c>
      <c r="I444" s="3">
        <f t="shared" ca="1" si="46"/>
        <v>56.670706168831174</v>
      </c>
      <c r="J444" s="3">
        <f t="shared" ca="1" si="47"/>
        <v>5.8670848739495804</v>
      </c>
      <c r="K444" s="3">
        <f t="shared" ca="1" si="48"/>
        <v>19.658823032521472</v>
      </c>
    </row>
    <row r="445" spans="3:11" x14ac:dyDescent="0.35">
      <c r="C445" t="str">
        <f t="shared" ca="1" si="42"/>
        <v>3Q2021</v>
      </c>
      <c r="D445" vm="882">
        <f ca="1"/>
        <v>44587</v>
      </c>
      <c r="E445" vm="883">
        <f ca="1"/>
        <v>22.771999999999998</v>
      </c>
      <c r="F445" s="3">
        <f t="shared" ca="1" si="43"/>
        <v>9.8481215027977617E-2</v>
      </c>
      <c r="G445" s="3">
        <f t="shared" ca="1" si="44"/>
        <v>0.95123900879296563</v>
      </c>
      <c r="H445" s="3">
        <f t="shared" ca="1" si="45"/>
        <v>0.28389288569144683</v>
      </c>
      <c r="I445" s="3">
        <f t="shared" ca="1" si="46"/>
        <v>57.80797889610389</v>
      </c>
      <c r="J445" s="3">
        <f t="shared" ca="1" si="47"/>
        <v>5.9848260504201676</v>
      </c>
      <c r="K445" s="3">
        <f t="shared" ca="1" si="48"/>
        <v>20.053338026186118</v>
      </c>
    </row>
    <row r="446" spans="3:11" x14ac:dyDescent="0.35">
      <c r="C446" t="str">
        <f t="shared" ca="1" si="42"/>
        <v>3Q2021</v>
      </c>
      <c r="D446" vm="884">
        <f ca="1"/>
        <v>44588</v>
      </c>
      <c r="E446" vm="885">
        <f ca="1"/>
        <v>21.943999999999999</v>
      </c>
      <c r="F446" s="3">
        <f t="shared" ca="1" si="43"/>
        <v>9.8481215027977617E-2</v>
      </c>
      <c r="G446" s="3">
        <f t="shared" ca="1" si="44"/>
        <v>0.95123900879296563</v>
      </c>
      <c r="H446" s="3">
        <f t="shared" ca="1" si="45"/>
        <v>0.28389288569144683</v>
      </c>
      <c r="I446" s="3">
        <f t="shared" ca="1" si="46"/>
        <v>55.706055194805195</v>
      </c>
      <c r="J446" s="3">
        <f t="shared" ca="1" si="47"/>
        <v>5.7672151260504201</v>
      </c>
      <c r="K446" s="3">
        <f t="shared" ca="1" si="48"/>
        <v>19.324189778966634</v>
      </c>
    </row>
    <row r="447" spans="3:11" x14ac:dyDescent="0.35">
      <c r="C447" t="str">
        <f t="shared" ca="1" si="42"/>
        <v>3Q2021</v>
      </c>
      <c r="D447" vm="886">
        <f ca="1"/>
        <v>44589</v>
      </c>
      <c r="E447" vm="887">
        <f ca="1"/>
        <v>22.84</v>
      </c>
      <c r="F447" s="3">
        <f t="shared" ca="1" si="43"/>
        <v>9.8481215027977617E-2</v>
      </c>
      <c r="G447" s="3">
        <f t="shared" ca="1" si="44"/>
        <v>0.95123900879296563</v>
      </c>
      <c r="H447" s="3">
        <f t="shared" ca="1" si="45"/>
        <v>0.28389288569144683</v>
      </c>
      <c r="I447" s="3">
        <f t="shared" ca="1" si="46"/>
        <v>57.980600649350649</v>
      </c>
      <c r="J447" s="3">
        <f t="shared" ca="1" si="47"/>
        <v>6.0026974789915961</v>
      </c>
      <c r="K447" s="3">
        <f t="shared" ca="1" si="48"/>
        <v>20.113219766295931</v>
      </c>
    </row>
    <row r="448" spans="3:11" x14ac:dyDescent="0.35">
      <c r="C448" t="str">
        <f t="shared" ca="1" si="42"/>
        <v>4Q2021</v>
      </c>
      <c r="D448" vm="888">
        <f ca="1"/>
        <v>44592</v>
      </c>
      <c r="E448" vm="889">
        <f ca="1"/>
        <v>24.486000000000001</v>
      </c>
      <c r="F448" s="3">
        <f t="shared" ca="1" si="43"/>
        <v>0.11979249800478851</v>
      </c>
      <c r="G448" s="3">
        <f t="shared" ca="1" si="44"/>
        <v>1.0618515562649642</v>
      </c>
      <c r="H448" s="3">
        <f t="shared" ca="1" si="45"/>
        <v>0.30498802873104547</v>
      </c>
      <c r="I448" s="3">
        <f t="shared" ca="1" si="46"/>
        <v>51.100862758161227</v>
      </c>
      <c r="J448" s="3">
        <f t="shared" ca="1" si="47"/>
        <v>5.7649301014656142</v>
      </c>
      <c r="K448" s="3">
        <f t="shared" ca="1" si="48"/>
        <v>20.071279602250428</v>
      </c>
    </row>
    <row r="449" spans="3:11" x14ac:dyDescent="0.35">
      <c r="C449" t="str">
        <f t="shared" ca="1" si="42"/>
        <v>4Q2021</v>
      </c>
      <c r="D449" vm="890">
        <f ca="1"/>
        <v>44593</v>
      </c>
      <c r="E449" vm="891">
        <f ca="1"/>
        <v>24.638000000000002</v>
      </c>
      <c r="F449" s="3">
        <f t="shared" ca="1" si="43"/>
        <v>0.11979249800478851</v>
      </c>
      <c r="G449" s="3">
        <f t="shared" ca="1" si="44"/>
        <v>1.0618515562649642</v>
      </c>
      <c r="H449" s="3">
        <f t="shared" ca="1" si="45"/>
        <v>0.30498802873104547</v>
      </c>
      <c r="I449" s="3">
        <f t="shared" ca="1" si="46"/>
        <v>51.418077948034643</v>
      </c>
      <c r="J449" s="3">
        <f t="shared" ca="1" si="47"/>
        <v>5.8007166478767376</v>
      </c>
      <c r="K449" s="3">
        <f t="shared" ca="1" si="48"/>
        <v>20.195874656548479</v>
      </c>
    </row>
    <row r="450" spans="3:11" x14ac:dyDescent="0.35">
      <c r="C450" t="str">
        <f t="shared" ca="1" si="42"/>
        <v>4Q2021</v>
      </c>
      <c r="D450" vm="892">
        <f ca="1"/>
        <v>44594</v>
      </c>
      <c r="E450" vm="893">
        <f ca="1"/>
        <v>25.242000000000001</v>
      </c>
      <c r="F450" s="3">
        <f t="shared" ca="1" si="43"/>
        <v>0.11979249800478851</v>
      </c>
      <c r="G450" s="3">
        <f t="shared" ca="1" si="44"/>
        <v>1.0618515562649642</v>
      </c>
      <c r="H450" s="3">
        <f t="shared" ca="1" si="45"/>
        <v>0.30498802873104547</v>
      </c>
      <c r="I450" s="3">
        <f t="shared" ca="1" si="46"/>
        <v>52.678590939373748</v>
      </c>
      <c r="J450" s="3">
        <f t="shared" ca="1" si="47"/>
        <v>5.942921082299887</v>
      </c>
      <c r="K450" s="3">
        <f t="shared" ca="1" si="48"/>
        <v>20.69097605652231</v>
      </c>
    </row>
    <row r="451" spans="3:11" x14ac:dyDescent="0.35">
      <c r="C451" t="str">
        <f t="shared" ref="C451:C514" ca="1" si="49">LOOKUP(D451,$N$2:$N$27,$M$2:$M$27)</f>
        <v>4Q2021</v>
      </c>
      <c r="D451" vm="894">
        <f ca="1"/>
        <v>44595</v>
      </c>
      <c r="E451" vm="895">
        <f ca="1"/>
        <v>23.948</v>
      </c>
      <c r="F451" s="3">
        <f t="shared" ca="1" si="43"/>
        <v>0.11979249800478851</v>
      </c>
      <c r="G451" s="3">
        <f t="shared" ca="1" si="44"/>
        <v>1.0618515562649642</v>
      </c>
      <c r="H451" s="3">
        <f t="shared" ca="1" si="45"/>
        <v>0.30498802873104547</v>
      </c>
      <c r="I451" s="3">
        <f t="shared" ca="1" si="46"/>
        <v>49.978087941372415</v>
      </c>
      <c r="J451" s="3">
        <f t="shared" ca="1" si="47"/>
        <v>5.6382645621946628</v>
      </c>
      <c r="K451" s="3">
        <f t="shared" ca="1" si="48"/>
        <v>19.630278686379697</v>
      </c>
    </row>
    <row r="452" spans="3:11" x14ac:dyDescent="0.35">
      <c r="C452" t="str">
        <f t="shared" ca="1" si="49"/>
        <v>4Q2021</v>
      </c>
      <c r="D452" vm="896">
        <f ca="1"/>
        <v>44596</v>
      </c>
      <c r="E452" vm="897">
        <f ca="1"/>
        <v>24.318999999999999</v>
      </c>
      <c r="F452" s="3">
        <f t="shared" ref="F452:F515" ca="1" si="50">VLOOKUP($C452,$M$2:$R$27,4,0)/VLOOKUP($C452,$M$2:$R$27,3,0)</f>
        <v>0.11979249800478851</v>
      </c>
      <c r="G452" s="3">
        <f t="shared" ref="G452:G515" ca="1" si="51">VLOOKUP($C452,$M$2:$R$27,6,0)/VLOOKUP($C452,$M$2:$R$27,3,0)</f>
        <v>1.0618515562649642</v>
      </c>
      <c r="H452" s="3">
        <f t="shared" ref="H452:H515" ca="1" si="52">VLOOKUP($C452,$M$2:$R$27,5,0)/VLOOKUP($C452,$M$2:$R$27,3,0)</f>
        <v>0.30498802873104547</v>
      </c>
      <c r="I452" s="3">
        <f t="shared" ref="I452:I515" ca="1" si="53">$E452/(F452*4)</f>
        <v>50.752343437708191</v>
      </c>
      <c r="J452" s="3">
        <f t="shared" ref="J452:J515" ca="1" si="54">$E452/(G452*4)</f>
        <v>5.7256119879744451</v>
      </c>
      <c r="K452" s="3">
        <f t="shared" ref="K452:K515" ca="1" si="55">$E452/(H452*4)</f>
        <v>19.934388983383489</v>
      </c>
    </row>
    <row r="453" spans="3:11" x14ac:dyDescent="0.35">
      <c r="C453" t="str">
        <f t="shared" ca="1" si="49"/>
        <v>4Q2021</v>
      </c>
      <c r="D453" vm="898">
        <f ca="1"/>
        <v>44599</v>
      </c>
      <c r="E453" vm="899">
        <f ca="1"/>
        <v>24.728000000000002</v>
      </c>
      <c r="F453" s="3">
        <f t="shared" ca="1" si="50"/>
        <v>0.11979249800478851</v>
      </c>
      <c r="G453" s="3">
        <f t="shared" ca="1" si="51"/>
        <v>1.0618515562649642</v>
      </c>
      <c r="H453" s="3">
        <f t="shared" ca="1" si="52"/>
        <v>0.30498802873104547</v>
      </c>
      <c r="I453" s="3">
        <f t="shared" ca="1" si="53"/>
        <v>51.605902731512323</v>
      </c>
      <c r="J453" s="3">
        <f t="shared" ca="1" si="54"/>
        <v>5.8219060503570086</v>
      </c>
      <c r="K453" s="3">
        <f t="shared" ca="1" si="55"/>
        <v>20.269648043961798</v>
      </c>
    </row>
    <row r="454" spans="3:11" x14ac:dyDescent="0.35">
      <c r="C454" t="str">
        <f t="shared" ca="1" si="49"/>
        <v>4Q2021</v>
      </c>
      <c r="D454" vm="900">
        <f ca="1"/>
        <v>44600</v>
      </c>
      <c r="E454" vm="901">
        <f ca="1"/>
        <v>25.108000000000001</v>
      </c>
      <c r="F454" s="3">
        <f t="shared" ca="1" si="50"/>
        <v>0.11979249800478851</v>
      </c>
      <c r="G454" s="3">
        <f t="shared" ca="1" si="51"/>
        <v>1.0618515562649642</v>
      </c>
      <c r="H454" s="3">
        <f t="shared" ca="1" si="52"/>
        <v>0.30498802873104547</v>
      </c>
      <c r="I454" s="3">
        <f t="shared" ca="1" si="53"/>
        <v>52.398940706195866</v>
      </c>
      <c r="J454" s="3">
        <f t="shared" ca="1" si="54"/>
        <v>5.9113724163848174</v>
      </c>
      <c r="K454" s="3">
        <f t="shared" ca="1" si="55"/>
        <v>20.581135679706922</v>
      </c>
    </row>
    <row r="455" spans="3:11" x14ac:dyDescent="0.35">
      <c r="C455" t="str">
        <f t="shared" ca="1" si="49"/>
        <v>4Q2021</v>
      </c>
      <c r="D455" vm="902">
        <f ca="1"/>
        <v>44601</v>
      </c>
      <c r="E455" vm="903">
        <f ca="1"/>
        <v>26.704999999999998</v>
      </c>
      <c r="F455" s="3">
        <f t="shared" ca="1" si="50"/>
        <v>0.11979249800478851</v>
      </c>
      <c r="G455" s="3">
        <f t="shared" ca="1" si="51"/>
        <v>1.0618515562649642</v>
      </c>
      <c r="H455" s="3">
        <f t="shared" ca="1" si="52"/>
        <v>0.30498802873104547</v>
      </c>
      <c r="I455" s="3">
        <f t="shared" ca="1" si="53"/>
        <v>55.731787141905393</v>
      </c>
      <c r="J455" s="3">
        <f t="shared" ca="1" si="54"/>
        <v>6.2873665915069514</v>
      </c>
      <c r="K455" s="3">
        <f t="shared" ca="1" si="55"/>
        <v>21.890203454141044</v>
      </c>
    </row>
    <row r="456" spans="3:11" x14ac:dyDescent="0.35">
      <c r="C456" t="str">
        <f t="shared" ca="1" si="49"/>
        <v>4Q2021</v>
      </c>
      <c r="D456" vm="904">
        <f ca="1"/>
        <v>44602</v>
      </c>
      <c r="E456" vm="905">
        <f ca="1"/>
        <v>25.824000000000002</v>
      </c>
      <c r="F456" s="3">
        <f t="shared" ca="1" si="50"/>
        <v>0.11979249800478851</v>
      </c>
      <c r="G456" s="3">
        <f t="shared" ca="1" si="51"/>
        <v>1.0618515562649642</v>
      </c>
      <c r="H456" s="3">
        <f t="shared" ca="1" si="52"/>
        <v>0.30498802873104547</v>
      </c>
      <c r="I456" s="3">
        <f t="shared" ca="1" si="53"/>
        <v>53.893191205862756</v>
      </c>
      <c r="J456" s="3">
        <f t="shared" ca="1" si="54"/>
        <v>6.0799458850056372</v>
      </c>
      <c r="K456" s="3">
        <f t="shared" ca="1" si="55"/>
        <v>21.16804396179511</v>
      </c>
    </row>
    <row r="457" spans="3:11" x14ac:dyDescent="0.35">
      <c r="C457" t="str">
        <f t="shared" ca="1" si="49"/>
        <v>4Q2021</v>
      </c>
      <c r="D457" vm="906">
        <f ca="1"/>
        <v>44603</v>
      </c>
      <c r="E457" vm="907">
        <f ca="1"/>
        <v>23.949000000000002</v>
      </c>
      <c r="F457" s="3">
        <f t="shared" ca="1" si="50"/>
        <v>0.11979249800478851</v>
      </c>
      <c r="G457" s="3">
        <f t="shared" ca="1" si="51"/>
        <v>1.0618515562649642</v>
      </c>
      <c r="H457" s="3">
        <f t="shared" ca="1" si="52"/>
        <v>0.30498802873104547</v>
      </c>
      <c r="I457" s="3">
        <f t="shared" ca="1" si="53"/>
        <v>49.98017488341106</v>
      </c>
      <c r="J457" s="3">
        <f t="shared" ca="1" si="54"/>
        <v>5.6384999999999996</v>
      </c>
      <c r="K457" s="3">
        <f t="shared" ca="1" si="55"/>
        <v>19.63109839068429</v>
      </c>
    </row>
    <row r="458" spans="3:11" x14ac:dyDescent="0.35">
      <c r="C458" t="str">
        <f t="shared" ca="1" si="49"/>
        <v>4Q2021</v>
      </c>
      <c r="D458" vm="908">
        <f ca="1"/>
        <v>44606</v>
      </c>
      <c r="E458" vm="909">
        <f ca="1"/>
        <v>24.266999999999999</v>
      </c>
      <c r="F458" s="3">
        <f t="shared" ca="1" si="50"/>
        <v>0.11979249800478851</v>
      </c>
      <c r="G458" s="3">
        <f t="shared" ca="1" si="51"/>
        <v>1.0618515562649642</v>
      </c>
      <c r="H458" s="3">
        <f t="shared" ca="1" si="52"/>
        <v>0.30498802873104547</v>
      </c>
      <c r="I458" s="3">
        <f t="shared" ca="1" si="53"/>
        <v>50.643822451698867</v>
      </c>
      <c r="J458" s="3">
        <f t="shared" ca="1" si="54"/>
        <v>5.7133692220969552</v>
      </c>
      <c r="K458" s="3">
        <f t="shared" ca="1" si="55"/>
        <v>19.891764359544684</v>
      </c>
    </row>
    <row r="459" spans="3:11" x14ac:dyDescent="0.35">
      <c r="C459" t="str">
        <f t="shared" ca="1" si="49"/>
        <v>4Q2021</v>
      </c>
      <c r="D459" vm="910">
        <f ca="1"/>
        <v>44607</v>
      </c>
      <c r="E459" vm="911">
        <f ca="1"/>
        <v>26.495000000000001</v>
      </c>
      <c r="F459" s="3">
        <f t="shared" ca="1" si="50"/>
        <v>0.11979249800478851</v>
      </c>
      <c r="G459" s="3">
        <f t="shared" ca="1" si="51"/>
        <v>1.0618515562649642</v>
      </c>
      <c r="H459" s="3">
        <f t="shared" ca="1" si="52"/>
        <v>0.30498802873104547</v>
      </c>
      <c r="I459" s="3">
        <f t="shared" ca="1" si="53"/>
        <v>55.293529313790806</v>
      </c>
      <c r="J459" s="3">
        <f t="shared" ca="1" si="54"/>
        <v>6.2379246523863205</v>
      </c>
      <c r="K459" s="3">
        <f t="shared" ca="1" si="55"/>
        <v>21.718065550176636</v>
      </c>
    </row>
    <row r="460" spans="3:11" x14ac:dyDescent="0.35">
      <c r="C460" t="str">
        <f t="shared" ca="1" si="49"/>
        <v>4Q2021</v>
      </c>
      <c r="D460" vm="912">
        <f ca="1"/>
        <v>44608</v>
      </c>
      <c r="E460" vm="913">
        <f ca="1"/>
        <v>26.510999999999999</v>
      </c>
      <c r="F460" s="3">
        <f t="shared" ca="1" si="50"/>
        <v>0.11979249800478851</v>
      </c>
      <c r="G460" s="3">
        <f t="shared" ca="1" si="51"/>
        <v>1.0618515562649642</v>
      </c>
      <c r="H460" s="3">
        <f t="shared" ca="1" si="52"/>
        <v>0.30498802873104547</v>
      </c>
      <c r="I460" s="3">
        <f t="shared" ca="1" si="53"/>
        <v>55.326920386409057</v>
      </c>
      <c r="J460" s="3">
        <f t="shared" ca="1" si="54"/>
        <v>6.2416916572717014</v>
      </c>
      <c r="K460" s="3">
        <f t="shared" ca="1" si="55"/>
        <v>21.731180819050113</v>
      </c>
    </row>
    <row r="461" spans="3:11" x14ac:dyDescent="0.35">
      <c r="C461" t="str">
        <f t="shared" ca="1" si="49"/>
        <v>4Q2021</v>
      </c>
      <c r="D461" vm="914">
        <f ca="1"/>
        <v>44609</v>
      </c>
      <c r="E461" vm="915">
        <f ca="1"/>
        <v>24.507000000000001</v>
      </c>
      <c r="F461" s="3">
        <f t="shared" ca="1" si="50"/>
        <v>0.11979249800478851</v>
      </c>
      <c r="G461" s="3">
        <f t="shared" ca="1" si="51"/>
        <v>1.0618515562649642</v>
      </c>
      <c r="H461" s="3">
        <f t="shared" ca="1" si="52"/>
        <v>0.30498802873104547</v>
      </c>
      <c r="I461" s="3">
        <f t="shared" ca="1" si="53"/>
        <v>51.144688540972687</v>
      </c>
      <c r="J461" s="3">
        <f t="shared" ca="1" si="54"/>
        <v>5.7698742953776776</v>
      </c>
      <c r="K461" s="3">
        <f t="shared" ca="1" si="55"/>
        <v>20.088493392646868</v>
      </c>
    </row>
    <row r="462" spans="3:11" x14ac:dyDescent="0.35">
      <c r="C462" t="str">
        <f t="shared" ca="1" si="49"/>
        <v>4Q2021</v>
      </c>
      <c r="D462" vm="916">
        <f ca="1"/>
        <v>44610</v>
      </c>
      <c r="E462" vm="917">
        <f ca="1"/>
        <v>23.641999999999999</v>
      </c>
      <c r="F462" s="3">
        <f t="shared" ca="1" si="50"/>
        <v>0.11979249800478851</v>
      </c>
      <c r="G462" s="3">
        <f t="shared" ca="1" si="51"/>
        <v>1.0618515562649642</v>
      </c>
      <c r="H462" s="3">
        <f t="shared" ca="1" si="52"/>
        <v>0.30498802873104547</v>
      </c>
      <c r="I462" s="3">
        <f t="shared" ca="1" si="53"/>
        <v>49.339483677548294</v>
      </c>
      <c r="J462" s="3">
        <f t="shared" ca="1" si="54"/>
        <v>5.5662205937617433</v>
      </c>
      <c r="K462" s="3">
        <f t="shared" ca="1" si="55"/>
        <v>19.379449169174411</v>
      </c>
    </row>
    <row r="463" spans="3:11" x14ac:dyDescent="0.35">
      <c r="C463" t="str">
        <f t="shared" ca="1" si="49"/>
        <v>4Q2021</v>
      </c>
      <c r="D463" vm="918">
        <f ca="1"/>
        <v>44614</v>
      </c>
      <c r="E463" vm="919">
        <f ca="1"/>
        <v>23.39</v>
      </c>
      <c r="F463" s="3">
        <f t="shared" ca="1" si="50"/>
        <v>0.11979249800478851</v>
      </c>
      <c r="G463" s="3">
        <f t="shared" ca="1" si="51"/>
        <v>1.0618515562649642</v>
      </c>
      <c r="H463" s="3">
        <f t="shared" ca="1" si="52"/>
        <v>0.30498802873104547</v>
      </c>
      <c r="I463" s="3">
        <f t="shared" ca="1" si="53"/>
        <v>48.813574283810794</v>
      </c>
      <c r="J463" s="3">
        <f t="shared" ca="1" si="54"/>
        <v>5.5068902668169857</v>
      </c>
      <c r="K463" s="3">
        <f t="shared" ca="1" si="55"/>
        <v>19.172883684417116</v>
      </c>
    </row>
    <row r="464" spans="3:11" x14ac:dyDescent="0.35">
      <c r="C464" t="str">
        <f t="shared" ca="1" si="49"/>
        <v>4Q2021</v>
      </c>
      <c r="D464" vm="920">
        <f ca="1"/>
        <v>44615</v>
      </c>
      <c r="E464" vm="921">
        <f ca="1"/>
        <v>22.387</v>
      </c>
      <c r="F464" s="3">
        <f t="shared" ca="1" si="50"/>
        <v>0.11979249800478851</v>
      </c>
      <c r="G464" s="3">
        <f t="shared" ca="1" si="51"/>
        <v>1.0618515562649642</v>
      </c>
      <c r="H464" s="3">
        <f t="shared" ca="1" si="52"/>
        <v>0.30498802873104547</v>
      </c>
      <c r="I464" s="3">
        <f t="shared" ca="1" si="53"/>
        <v>46.720371419053961</v>
      </c>
      <c r="J464" s="3">
        <f t="shared" ca="1" si="54"/>
        <v>5.2707461480646369</v>
      </c>
      <c r="K464" s="3">
        <f t="shared" ca="1" si="55"/>
        <v>18.350720266910901</v>
      </c>
    </row>
    <row r="465" spans="3:11" x14ac:dyDescent="0.35">
      <c r="C465" t="str">
        <f t="shared" ca="1" si="49"/>
        <v>4Q2021</v>
      </c>
      <c r="D465" vm="922">
        <f ca="1"/>
        <v>44616</v>
      </c>
      <c r="E465" vm="923">
        <f ca="1"/>
        <v>23.748000000000001</v>
      </c>
      <c r="F465" s="3">
        <f t="shared" ca="1" si="50"/>
        <v>0.11979249800478851</v>
      </c>
      <c r="G465" s="3">
        <f t="shared" ca="1" si="51"/>
        <v>1.0618515562649642</v>
      </c>
      <c r="H465" s="3">
        <f t="shared" ca="1" si="52"/>
        <v>0.30498802873104547</v>
      </c>
      <c r="I465" s="3">
        <f t="shared" ca="1" si="53"/>
        <v>49.56069953364424</v>
      </c>
      <c r="J465" s="3">
        <f t="shared" ca="1" si="54"/>
        <v>5.5911770011273951</v>
      </c>
      <c r="K465" s="3">
        <f t="shared" ca="1" si="55"/>
        <v>19.46633782546121</v>
      </c>
    </row>
    <row r="466" spans="3:11" x14ac:dyDescent="0.35">
      <c r="C466" t="str">
        <f t="shared" ca="1" si="49"/>
        <v>4Q2021</v>
      </c>
      <c r="D466" vm="924">
        <f ca="1"/>
        <v>44617</v>
      </c>
      <c r="E466" vm="925">
        <f ca="1"/>
        <v>24.157</v>
      </c>
      <c r="F466" s="3">
        <f t="shared" ca="1" si="50"/>
        <v>0.11979249800478851</v>
      </c>
      <c r="G466" s="3">
        <f t="shared" ca="1" si="51"/>
        <v>1.0618515562649642</v>
      </c>
      <c r="H466" s="3">
        <f t="shared" ca="1" si="52"/>
        <v>0.30498802873104547</v>
      </c>
      <c r="I466" s="3">
        <f t="shared" ca="1" si="53"/>
        <v>50.414258827448364</v>
      </c>
      <c r="J466" s="3">
        <f t="shared" ca="1" si="54"/>
        <v>5.6874710635099577</v>
      </c>
      <c r="K466" s="3">
        <f t="shared" ca="1" si="55"/>
        <v>19.801596886039516</v>
      </c>
    </row>
    <row r="467" spans="3:11" x14ac:dyDescent="0.35">
      <c r="C467" t="str">
        <f t="shared" ca="1" si="49"/>
        <v>4Q2021</v>
      </c>
      <c r="D467" vm="926">
        <f ca="1"/>
        <v>44620</v>
      </c>
      <c r="E467" vm="927">
        <f ca="1"/>
        <v>24.385000000000002</v>
      </c>
      <c r="F467" s="3">
        <f t="shared" ca="1" si="50"/>
        <v>0.11979249800478851</v>
      </c>
      <c r="G467" s="3">
        <f t="shared" ca="1" si="51"/>
        <v>1.0618515562649642</v>
      </c>
      <c r="H467" s="3">
        <f t="shared" ca="1" si="52"/>
        <v>0.30498802873104547</v>
      </c>
      <c r="I467" s="3">
        <f t="shared" ca="1" si="53"/>
        <v>50.890081612258491</v>
      </c>
      <c r="J467" s="3">
        <f t="shared" ca="1" si="54"/>
        <v>5.741150883126644</v>
      </c>
      <c r="K467" s="3">
        <f t="shared" ca="1" si="55"/>
        <v>19.988489467486591</v>
      </c>
    </row>
    <row r="468" spans="3:11" x14ac:dyDescent="0.35">
      <c r="C468" t="str">
        <f t="shared" ca="1" si="49"/>
        <v>4Q2021</v>
      </c>
      <c r="D468" vm="928">
        <f ca="1"/>
        <v>44621</v>
      </c>
      <c r="E468" vm="929">
        <f ca="1"/>
        <v>23.477</v>
      </c>
      <c r="F468" s="3">
        <f t="shared" ca="1" si="50"/>
        <v>0.11979249800478851</v>
      </c>
      <c r="G468" s="3">
        <f t="shared" ca="1" si="51"/>
        <v>1.0618515562649642</v>
      </c>
      <c r="H468" s="3">
        <f t="shared" ca="1" si="52"/>
        <v>0.30498802873104547</v>
      </c>
      <c r="I468" s="3">
        <f t="shared" ca="1" si="53"/>
        <v>48.995138241172548</v>
      </c>
      <c r="J468" s="3">
        <f t="shared" ca="1" si="54"/>
        <v>5.527373355881247</v>
      </c>
      <c r="K468" s="3">
        <f t="shared" ca="1" si="55"/>
        <v>19.244197958916658</v>
      </c>
    </row>
    <row r="469" spans="3:11" x14ac:dyDescent="0.35">
      <c r="C469" t="str">
        <f t="shared" ca="1" si="49"/>
        <v>4Q2021</v>
      </c>
      <c r="D469" vm="930">
        <f ca="1"/>
        <v>44622</v>
      </c>
      <c r="E469" vm="931">
        <f ca="1"/>
        <v>24.22</v>
      </c>
      <c r="F469" s="3">
        <f t="shared" ca="1" si="50"/>
        <v>0.11979249800478851</v>
      </c>
      <c r="G469" s="3">
        <f t="shared" ca="1" si="51"/>
        <v>1.0618515562649642</v>
      </c>
      <c r="H469" s="3">
        <f t="shared" ca="1" si="52"/>
        <v>0.30498802873104547</v>
      </c>
      <c r="I469" s="3">
        <f t="shared" ca="1" si="53"/>
        <v>50.545736175882737</v>
      </c>
      <c r="J469" s="3">
        <f t="shared" ca="1" si="54"/>
        <v>5.7023036452461469</v>
      </c>
      <c r="K469" s="3">
        <f t="shared" ca="1" si="55"/>
        <v>19.853238257228838</v>
      </c>
    </row>
    <row r="470" spans="3:11" x14ac:dyDescent="0.35">
      <c r="C470" t="str">
        <f t="shared" ca="1" si="49"/>
        <v>4Q2021</v>
      </c>
      <c r="D470" vm="932">
        <f ca="1"/>
        <v>44623</v>
      </c>
      <c r="E470" vm="933">
        <f ca="1"/>
        <v>23.713999999999999</v>
      </c>
      <c r="F470" s="3">
        <f t="shared" ca="1" si="50"/>
        <v>0.11979249800478851</v>
      </c>
      <c r="G470" s="3">
        <f t="shared" ca="1" si="51"/>
        <v>1.0618515562649642</v>
      </c>
      <c r="H470" s="3">
        <f t="shared" ca="1" si="52"/>
        <v>0.30498802873104547</v>
      </c>
      <c r="I470" s="3">
        <f t="shared" ca="1" si="53"/>
        <v>49.489743504330441</v>
      </c>
      <c r="J470" s="3">
        <f t="shared" ca="1" si="54"/>
        <v>5.5831721157459597</v>
      </c>
      <c r="K470" s="3">
        <f t="shared" ca="1" si="55"/>
        <v>19.438467879105065</v>
      </c>
    </row>
    <row r="471" spans="3:11" x14ac:dyDescent="0.35">
      <c r="C471" t="str">
        <f t="shared" ca="1" si="49"/>
        <v>4Q2021</v>
      </c>
      <c r="D471" vm="934">
        <f ca="1"/>
        <v>44624</v>
      </c>
      <c r="E471" vm="935">
        <f ca="1"/>
        <v>22.936</v>
      </c>
      <c r="F471" s="3">
        <f t="shared" ca="1" si="50"/>
        <v>0.11979249800478851</v>
      </c>
      <c r="G471" s="3">
        <f t="shared" ca="1" si="51"/>
        <v>1.0618515562649642</v>
      </c>
      <c r="H471" s="3">
        <f t="shared" ca="1" si="52"/>
        <v>0.30498802873104547</v>
      </c>
      <c r="I471" s="3">
        <f t="shared" ca="1" si="53"/>
        <v>47.866102598267815</v>
      </c>
      <c r="J471" s="3">
        <f t="shared" ca="1" si="54"/>
        <v>5.4000015031942876</v>
      </c>
      <c r="K471" s="3">
        <f t="shared" ca="1" si="55"/>
        <v>18.800737930132147</v>
      </c>
    </row>
    <row r="472" spans="3:11" x14ac:dyDescent="0.35">
      <c r="C472" t="str">
        <f t="shared" ca="1" si="49"/>
        <v>4Q2021</v>
      </c>
      <c r="D472" vm="936">
        <f ca="1"/>
        <v>44627</v>
      </c>
      <c r="E472" vm="937">
        <f ca="1"/>
        <v>21.352</v>
      </c>
      <c r="F472" s="3">
        <f t="shared" ca="1" si="50"/>
        <v>0.11979249800478851</v>
      </c>
      <c r="G472" s="3">
        <f t="shared" ca="1" si="51"/>
        <v>1.0618515562649642</v>
      </c>
      <c r="H472" s="3">
        <f t="shared" ca="1" si="52"/>
        <v>0.30498802873104547</v>
      </c>
      <c r="I472" s="3">
        <f t="shared" ca="1" si="53"/>
        <v>44.560386409060627</v>
      </c>
      <c r="J472" s="3">
        <f t="shared" ca="1" si="54"/>
        <v>5.0270680195415256</v>
      </c>
      <c r="K472" s="3">
        <f t="shared" ca="1" si="55"/>
        <v>17.502326311657729</v>
      </c>
    </row>
    <row r="473" spans="3:11" x14ac:dyDescent="0.35">
      <c r="C473" t="str">
        <f t="shared" ca="1" si="49"/>
        <v>4Q2021</v>
      </c>
      <c r="D473" vm="938">
        <f ca="1"/>
        <v>44628</v>
      </c>
      <c r="E473" vm="939">
        <f ca="1"/>
        <v>21.513999999999999</v>
      </c>
      <c r="F473" s="3">
        <f t="shared" ca="1" si="50"/>
        <v>0.11979249800478851</v>
      </c>
      <c r="G473" s="3">
        <f t="shared" ca="1" si="51"/>
        <v>1.0618515562649642</v>
      </c>
      <c r="H473" s="3">
        <f t="shared" ca="1" si="52"/>
        <v>0.30498802873104547</v>
      </c>
      <c r="I473" s="3">
        <f t="shared" ca="1" si="53"/>
        <v>44.898471019320446</v>
      </c>
      <c r="J473" s="3">
        <f t="shared" ca="1" si="54"/>
        <v>5.0652089440060122</v>
      </c>
      <c r="K473" s="3">
        <f t="shared" ca="1" si="55"/>
        <v>17.635118409001702</v>
      </c>
    </row>
    <row r="474" spans="3:11" x14ac:dyDescent="0.35">
      <c r="C474" t="str">
        <f t="shared" ca="1" si="49"/>
        <v>4Q2021</v>
      </c>
      <c r="D474" vm="940">
        <f ca="1"/>
        <v>44629</v>
      </c>
      <c r="E474" vm="941">
        <f ca="1"/>
        <v>23.013999999999999</v>
      </c>
      <c r="F474" s="3">
        <f t="shared" ca="1" si="50"/>
        <v>0.11979249800478851</v>
      </c>
      <c r="G474" s="3">
        <f t="shared" ca="1" si="51"/>
        <v>1.0618515562649642</v>
      </c>
      <c r="H474" s="3">
        <f t="shared" ca="1" si="52"/>
        <v>0.30498802873104547</v>
      </c>
      <c r="I474" s="3">
        <f t="shared" ca="1" si="53"/>
        <v>48.028884077281809</v>
      </c>
      <c r="J474" s="3">
        <f t="shared" ca="1" si="54"/>
        <v>5.4183656520105217</v>
      </c>
      <c r="K474" s="3">
        <f t="shared" ca="1" si="55"/>
        <v>18.864674865890358</v>
      </c>
    </row>
    <row r="475" spans="3:11" x14ac:dyDescent="0.35">
      <c r="C475" t="str">
        <f t="shared" ca="1" si="49"/>
        <v>4Q2021</v>
      </c>
      <c r="D475" vm="942">
        <f ca="1"/>
        <v>44630</v>
      </c>
      <c r="E475" vm="943">
        <f ca="1"/>
        <v>22.658000000000001</v>
      </c>
      <c r="F475" s="3">
        <f t="shared" ca="1" si="50"/>
        <v>0.11979249800478851</v>
      </c>
      <c r="G475" s="3">
        <f t="shared" ca="1" si="51"/>
        <v>1.0618515562649642</v>
      </c>
      <c r="H475" s="3">
        <f t="shared" ca="1" si="52"/>
        <v>0.30498802873104547</v>
      </c>
      <c r="I475" s="3">
        <f t="shared" ca="1" si="53"/>
        <v>47.285932711525646</v>
      </c>
      <c r="J475" s="3">
        <f t="shared" ca="1" si="54"/>
        <v>5.334549793310785</v>
      </c>
      <c r="K475" s="3">
        <f t="shared" ca="1" si="55"/>
        <v>18.572860133455453</v>
      </c>
    </row>
    <row r="476" spans="3:11" x14ac:dyDescent="0.35">
      <c r="C476" t="str">
        <f t="shared" ca="1" si="49"/>
        <v>4Q2021</v>
      </c>
      <c r="D476" vm="944">
        <f ca="1"/>
        <v>44631</v>
      </c>
      <c r="E476" vm="945">
        <f ca="1"/>
        <v>22.1</v>
      </c>
      <c r="F476" s="3">
        <f t="shared" ca="1" si="50"/>
        <v>0.11979249800478851</v>
      </c>
      <c r="G476" s="3">
        <f t="shared" ca="1" si="51"/>
        <v>1.0618515562649642</v>
      </c>
      <c r="H476" s="3">
        <f t="shared" ca="1" si="52"/>
        <v>0.30498802873104547</v>
      </c>
      <c r="I476" s="3">
        <f t="shared" ca="1" si="53"/>
        <v>46.121419053964026</v>
      </c>
      <c r="J476" s="3">
        <f t="shared" ca="1" si="54"/>
        <v>5.203175497933108</v>
      </c>
      <c r="K476" s="3">
        <f t="shared" ca="1" si="55"/>
        <v>18.115465131492872</v>
      </c>
    </row>
    <row r="477" spans="3:11" x14ac:dyDescent="0.35">
      <c r="C477" t="str">
        <f t="shared" ca="1" si="49"/>
        <v>4Q2021</v>
      </c>
      <c r="D477" vm="946">
        <f ca="1"/>
        <v>44634</v>
      </c>
      <c r="E477" vm="947">
        <f ca="1"/>
        <v>21.33</v>
      </c>
      <c r="F477" s="3">
        <f t="shared" ca="1" si="50"/>
        <v>0.11979249800478851</v>
      </c>
      <c r="G477" s="3">
        <f t="shared" ca="1" si="51"/>
        <v>1.0618515562649642</v>
      </c>
      <c r="H477" s="3">
        <f t="shared" ca="1" si="52"/>
        <v>0.30498802873104547</v>
      </c>
      <c r="I477" s="3">
        <f t="shared" ca="1" si="53"/>
        <v>44.514473684210522</v>
      </c>
      <c r="J477" s="3">
        <f t="shared" ca="1" si="54"/>
        <v>5.0218883878241254</v>
      </c>
      <c r="K477" s="3">
        <f t="shared" ca="1" si="55"/>
        <v>17.484292816956692</v>
      </c>
    </row>
    <row r="478" spans="3:11" x14ac:dyDescent="0.35">
      <c r="C478" t="str">
        <f t="shared" ca="1" si="49"/>
        <v>4Q2021</v>
      </c>
      <c r="D478" vm="948">
        <f ca="1"/>
        <v>44635</v>
      </c>
      <c r="E478" vm="949">
        <f ca="1"/>
        <v>22.972999999999999</v>
      </c>
      <c r="F478" s="3">
        <f t="shared" ca="1" si="50"/>
        <v>0.11979249800478851</v>
      </c>
      <c r="G478" s="3">
        <f t="shared" ca="1" si="51"/>
        <v>1.0618515562649642</v>
      </c>
      <c r="H478" s="3">
        <f t="shared" ca="1" si="52"/>
        <v>0.30498802873104547</v>
      </c>
      <c r="I478" s="3">
        <f t="shared" ca="1" si="53"/>
        <v>47.943319453697534</v>
      </c>
      <c r="J478" s="3">
        <f t="shared" ca="1" si="54"/>
        <v>5.4087127019917318</v>
      </c>
      <c r="K478" s="3">
        <f t="shared" ca="1" si="55"/>
        <v>18.831066989402068</v>
      </c>
    </row>
    <row r="479" spans="3:11" x14ac:dyDescent="0.35">
      <c r="C479" t="str">
        <f t="shared" ca="1" si="49"/>
        <v>4Q2021</v>
      </c>
      <c r="D479" vm="950">
        <f ca="1"/>
        <v>44636</v>
      </c>
      <c r="E479" vm="951">
        <f ca="1"/>
        <v>24.495999999999999</v>
      </c>
      <c r="F479" s="3">
        <f t="shared" ca="1" si="50"/>
        <v>0.11979249800478851</v>
      </c>
      <c r="G479" s="3">
        <f t="shared" ca="1" si="51"/>
        <v>1.0618515562649642</v>
      </c>
      <c r="H479" s="3">
        <f t="shared" ca="1" si="52"/>
        <v>0.30498802873104547</v>
      </c>
      <c r="I479" s="3">
        <f t="shared" ca="1" si="53"/>
        <v>51.121732178547632</v>
      </c>
      <c r="J479" s="3">
        <f t="shared" ca="1" si="54"/>
        <v>5.7672844795189766</v>
      </c>
      <c r="K479" s="3">
        <f t="shared" ca="1" si="55"/>
        <v>20.079476645296349</v>
      </c>
    </row>
    <row r="480" spans="3:11" x14ac:dyDescent="0.35">
      <c r="C480" t="str">
        <f t="shared" ca="1" si="49"/>
        <v>4Q2021</v>
      </c>
      <c r="D480" vm="952">
        <f ca="1"/>
        <v>44637</v>
      </c>
      <c r="E480" vm="953">
        <f ca="1"/>
        <v>24.765999999999998</v>
      </c>
      <c r="F480" s="3">
        <f t="shared" ca="1" si="50"/>
        <v>0.11979249800478851</v>
      </c>
      <c r="G480" s="3">
        <f t="shared" ca="1" si="51"/>
        <v>1.0618515562649642</v>
      </c>
      <c r="H480" s="3">
        <f t="shared" ca="1" si="52"/>
        <v>0.30498802873104547</v>
      </c>
      <c r="I480" s="3">
        <f t="shared" ca="1" si="53"/>
        <v>51.685206528980672</v>
      </c>
      <c r="J480" s="3">
        <f t="shared" ca="1" si="54"/>
        <v>5.8308526869597888</v>
      </c>
      <c r="K480" s="3">
        <f t="shared" ca="1" si="55"/>
        <v>20.300796807536308</v>
      </c>
    </row>
    <row r="481" spans="3:11" x14ac:dyDescent="0.35">
      <c r="C481" t="str">
        <f t="shared" ca="1" si="49"/>
        <v>4Q2021</v>
      </c>
      <c r="D481" vm="954">
        <f ca="1"/>
        <v>44638</v>
      </c>
      <c r="E481" vm="955">
        <f ca="1"/>
        <v>26.452999999999999</v>
      </c>
      <c r="F481" s="3">
        <f t="shared" ca="1" si="50"/>
        <v>0.11979249800478851</v>
      </c>
      <c r="G481" s="3">
        <f t="shared" ca="1" si="51"/>
        <v>1.0618515562649642</v>
      </c>
      <c r="H481" s="3">
        <f t="shared" ca="1" si="52"/>
        <v>0.30498802873104547</v>
      </c>
      <c r="I481" s="3">
        <f t="shared" ca="1" si="53"/>
        <v>55.205877748167886</v>
      </c>
      <c r="J481" s="3">
        <f t="shared" ca="1" si="54"/>
        <v>6.2280362645621938</v>
      </c>
      <c r="K481" s="3">
        <f t="shared" ca="1" si="55"/>
        <v>21.683637969383749</v>
      </c>
    </row>
    <row r="482" spans="3:11" x14ac:dyDescent="0.35">
      <c r="C482" t="str">
        <f t="shared" ca="1" si="49"/>
        <v>4Q2021</v>
      </c>
      <c r="D482" vm="956">
        <f ca="1"/>
        <v>44641</v>
      </c>
      <c r="E482" vm="957">
        <f ca="1"/>
        <v>26.734000000000002</v>
      </c>
      <c r="F482" s="3">
        <f t="shared" ca="1" si="50"/>
        <v>0.11979249800478851</v>
      </c>
      <c r="G482" s="3">
        <f t="shared" ca="1" si="51"/>
        <v>1.0618515562649642</v>
      </c>
      <c r="H482" s="3">
        <f t="shared" ca="1" si="52"/>
        <v>0.30498802873104547</v>
      </c>
      <c r="I482" s="3">
        <f t="shared" ca="1" si="53"/>
        <v>55.792308461025982</v>
      </c>
      <c r="J482" s="3">
        <f t="shared" ca="1" si="54"/>
        <v>6.2941942878617061</v>
      </c>
      <c r="K482" s="3">
        <f t="shared" ca="1" si="55"/>
        <v>21.913974878974226</v>
      </c>
    </row>
    <row r="483" spans="3:11" x14ac:dyDescent="0.35">
      <c r="C483" t="str">
        <f t="shared" ca="1" si="49"/>
        <v>4Q2021</v>
      </c>
      <c r="D483" vm="958">
        <f ca="1"/>
        <v>44642</v>
      </c>
      <c r="E483" vm="959">
        <f ca="1"/>
        <v>26.524000000000001</v>
      </c>
      <c r="F483" s="3">
        <f t="shared" ca="1" si="50"/>
        <v>0.11979249800478851</v>
      </c>
      <c r="G483" s="3">
        <f t="shared" ca="1" si="51"/>
        <v>1.0618515562649642</v>
      </c>
      <c r="H483" s="3">
        <f t="shared" ca="1" si="52"/>
        <v>0.30498802873104547</v>
      </c>
      <c r="I483" s="3">
        <f t="shared" ca="1" si="53"/>
        <v>55.354050632911388</v>
      </c>
      <c r="J483" s="3">
        <f t="shared" ca="1" si="54"/>
        <v>6.2447523487410743</v>
      </c>
      <c r="K483" s="3">
        <f t="shared" ca="1" si="55"/>
        <v>21.741836975009814</v>
      </c>
    </row>
    <row r="484" spans="3:11" x14ac:dyDescent="0.35">
      <c r="C484" t="str">
        <f t="shared" ca="1" si="49"/>
        <v>4Q2021</v>
      </c>
      <c r="D484" vm="960">
        <f ca="1"/>
        <v>44643</v>
      </c>
      <c r="E484" vm="961">
        <f ca="1"/>
        <v>25.634</v>
      </c>
      <c r="F484" s="3">
        <f t="shared" ca="1" si="50"/>
        <v>0.11979249800478851</v>
      </c>
      <c r="G484" s="3">
        <f t="shared" ca="1" si="51"/>
        <v>1.0618515562649642</v>
      </c>
      <c r="H484" s="3">
        <f t="shared" ca="1" si="52"/>
        <v>0.30498802873104547</v>
      </c>
      <c r="I484" s="3">
        <f t="shared" ca="1" si="53"/>
        <v>53.496672218520985</v>
      </c>
      <c r="J484" s="3">
        <f t="shared" ca="1" si="54"/>
        <v>6.0352127019917319</v>
      </c>
      <c r="K484" s="3">
        <f t="shared" ca="1" si="55"/>
        <v>21.012300143922545</v>
      </c>
    </row>
    <row r="485" spans="3:11" x14ac:dyDescent="0.35">
      <c r="C485" t="str">
        <f t="shared" ca="1" si="49"/>
        <v>4Q2021</v>
      </c>
      <c r="D485" vm="962">
        <f ca="1"/>
        <v>44644</v>
      </c>
      <c r="E485" vm="963">
        <f ca="1"/>
        <v>28.15</v>
      </c>
      <c r="F485" s="3">
        <f t="shared" ca="1" si="50"/>
        <v>0.11979249800478851</v>
      </c>
      <c r="G485" s="3">
        <f t="shared" ca="1" si="51"/>
        <v>1.0618515562649642</v>
      </c>
      <c r="H485" s="3">
        <f t="shared" ca="1" si="52"/>
        <v>0.30498802873104547</v>
      </c>
      <c r="I485" s="3">
        <f t="shared" ca="1" si="53"/>
        <v>58.747418387741497</v>
      </c>
      <c r="J485" s="3">
        <f t="shared" ca="1" si="54"/>
        <v>6.6275742202179622</v>
      </c>
      <c r="K485" s="3">
        <f t="shared" ca="1" si="55"/>
        <v>23.074676174277116</v>
      </c>
    </row>
    <row r="486" spans="3:11" x14ac:dyDescent="0.35">
      <c r="C486" t="str">
        <f t="shared" ca="1" si="49"/>
        <v>4Q2021</v>
      </c>
      <c r="D486" vm="964">
        <f ca="1"/>
        <v>44645</v>
      </c>
      <c r="E486" vm="965">
        <f ca="1"/>
        <v>27.692</v>
      </c>
      <c r="F486" s="3">
        <f t="shared" ca="1" si="50"/>
        <v>0.11979249800478851</v>
      </c>
      <c r="G486" s="3">
        <f t="shared" ca="1" si="51"/>
        <v>1.0618515562649642</v>
      </c>
      <c r="H486" s="3">
        <f t="shared" ca="1" si="52"/>
        <v>0.30498802873104547</v>
      </c>
      <c r="I486" s="3">
        <f t="shared" ca="1" si="53"/>
        <v>57.791598934043968</v>
      </c>
      <c r="J486" s="3">
        <f t="shared" ca="1" si="54"/>
        <v>6.5197437053739193</v>
      </c>
      <c r="K486" s="3">
        <f t="shared" ca="1" si="55"/>
        <v>22.699251602773781</v>
      </c>
    </row>
    <row r="487" spans="3:11" x14ac:dyDescent="0.35">
      <c r="C487" t="str">
        <f t="shared" ca="1" si="49"/>
        <v>4Q2021</v>
      </c>
      <c r="D487" vm="966">
        <f ca="1"/>
        <v>44648</v>
      </c>
      <c r="E487" vm="967">
        <f ca="1"/>
        <v>28.219000000000001</v>
      </c>
      <c r="F487" s="3">
        <f t="shared" ca="1" si="50"/>
        <v>0.11979249800478851</v>
      </c>
      <c r="G487" s="3">
        <f t="shared" ca="1" si="51"/>
        <v>1.0618515562649642</v>
      </c>
      <c r="H487" s="3">
        <f t="shared" ca="1" si="52"/>
        <v>0.30498802873104547</v>
      </c>
      <c r="I487" s="3">
        <f t="shared" ca="1" si="53"/>
        <v>58.891417388407724</v>
      </c>
      <c r="J487" s="3">
        <f t="shared" ca="1" si="54"/>
        <v>6.6438194287861698</v>
      </c>
      <c r="K487" s="3">
        <f t="shared" ca="1" si="55"/>
        <v>23.131235771293998</v>
      </c>
    </row>
    <row r="488" spans="3:11" x14ac:dyDescent="0.35">
      <c r="C488" t="str">
        <f t="shared" ca="1" si="49"/>
        <v>4Q2021</v>
      </c>
      <c r="D488" vm="968">
        <f ca="1"/>
        <v>44649</v>
      </c>
      <c r="E488" vm="969">
        <f ca="1"/>
        <v>28.655999999999999</v>
      </c>
      <c r="F488" s="3">
        <f t="shared" ca="1" si="50"/>
        <v>0.11979249800478851</v>
      </c>
      <c r="G488" s="3">
        <f t="shared" ca="1" si="51"/>
        <v>1.0618515562649642</v>
      </c>
      <c r="H488" s="3">
        <f t="shared" ca="1" si="52"/>
        <v>0.30498802873104547</v>
      </c>
      <c r="I488" s="3">
        <f t="shared" ca="1" si="53"/>
        <v>59.803411059293801</v>
      </c>
      <c r="J488" s="3">
        <f t="shared" ca="1" si="54"/>
        <v>6.7467057497181502</v>
      </c>
      <c r="K488" s="3">
        <f t="shared" ca="1" si="55"/>
        <v>23.489446552400892</v>
      </c>
    </row>
    <row r="489" spans="3:11" x14ac:dyDescent="0.35">
      <c r="C489" t="str">
        <f t="shared" ca="1" si="49"/>
        <v>4Q2021</v>
      </c>
      <c r="D489" vm="970">
        <f ca="1"/>
        <v>44650</v>
      </c>
      <c r="E489" vm="971">
        <f ca="1"/>
        <v>27.69</v>
      </c>
      <c r="F489" s="3">
        <f t="shared" ca="1" si="50"/>
        <v>0.11979249800478851</v>
      </c>
      <c r="G489" s="3">
        <f t="shared" ca="1" si="51"/>
        <v>1.0618515562649642</v>
      </c>
      <c r="H489" s="3">
        <f t="shared" ca="1" si="52"/>
        <v>0.30498802873104547</v>
      </c>
      <c r="I489" s="3">
        <f t="shared" ca="1" si="53"/>
        <v>57.787425049966686</v>
      </c>
      <c r="J489" s="3">
        <f t="shared" ca="1" si="54"/>
        <v>6.5192728297632465</v>
      </c>
      <c r="K489" s="3">
        <f t="shared" ca="1" si="55"/>
        <v>22.697612194164599</v>
      </c>
    </row>
    <row r="490" spans="3:11" x14ac:dyDescent="0.35">
      <c r="C490" t="str">
        <f t="shared" ca="1" si="49"/>
        <v>4Q2021</v>
      </c>
      <c r="D490" vm="972">
        <f ca="1"/>
        <v>44651</v>
      </c>
      <c r="E490" vm="973">
        <f ca="1"/>
        <v>27.286000000000001</v>
      </c>
      <c r="F490" s="3">
        <f t="shared" ca="1" si="50"/>
        <v>0.11979249800478851</v>
      </c>
      <c r="G490" s="3">
        <f t="shared" ca="1" si="51"/>
        <v>1.0618515562649642</v>
      </c>
      <c r="H490" s="3">
        <f t="shared" ca="1" si="52"/>
        <v>0.30498802873104547</v>
      </c>
      <c r="I490" s="3">
        <f t="shared" ca="1" si="53"/>
        <v>56.944300466355763</v>
      </c>
      <c r="J490" s="3">
        <f t="shared" ca="1" si="54"/>
        <v>6.4241559564073656</v>
      </c>
      <c r="K490" s="3">
        <f t="shared" ca="1" si="55"/>
        <v>22.366451655109252</v>
      </c>
    </row>
    <row r="491" spans="3:11" x14ac:dyDescent="0.35">
      <c r="C491" t="str">
        <f t="shared" ca="1" si="49"/>
        <v>4Q2021</v>
      </c>
      <c r="D491" vm="974">
        <f ca="1"/>
        <v>44652</v>
      </c>
      <c r="E491" vm="975">
        <f ca="1"/>
        <v>26.712</v>
      </c>
      <c r="F491" s="3">
        <f t="shared" ca="1" si="50"/>
        <v>0.11979249800478851</v>
      </c>
      <c r="G491" s="3">
        <f t="shared" ca="1" si="51"/>
        <v>1.0618515562649642</v>
      </c>
      <c r="H491" s="3">
        <f t="shared" ca="1" si="52"/>
        <v>0.30498802873104547</v>
      </c>
      <c r="I491" s="3">
        <f t="shared" ca="1" si="53"/>
        <v>55.746395736175877</v>
      </c>
      <c r="J491" s="3">
        <f t="shared" ca="1" si="54"/>
        <v>6.2890146561443059</v>
      </c>
      <c r="K491" s="3">
        <f t="shared" ca="1" si="55"/>
        <v>21.895941384273193</v>
      </c>
    </row>
    <row r="492" spans="3:11" x14ac:dyDescent="0.35">
      <c r="C492" t="str">
        <f t="shared" ca="1" si="49"/>
        <v>4Q2021</v>
      </c>
      <c r="D492" vm="976">
        <f ca="1"/>
        <v>44655</v>
      </c>
      <c r="E492" vm="977">
        <f ca="1"/>
        <v>27.36</v>
      </c>
      <c r="F492" s="3">
        <f t="shared" ca="1" si="50"/>
        <v>0.11979249800478851</v>
      </c>
      <c r="G492" s="3">
        <f t="shared" ca="1" si="51"/>
        <v>1.0618515562649642</v>
      </c>
      <c r="H492" s="3">
        <f t="shared" ca="1" si="52"/>
        <v>0.30498802873104547</v>
      </c>
      <c r="I492" s="3">
        <f t="shared" ca="1" si="53"/>
        <v>57.098734177215185</v>
      </c>
      <c r="J492" s="3">
        <f t="shared" ca="1" si="54"/>
        <v>6.441578354002254</v>
      </c>
      <c r="K492" s="3">
        <f t="shared" ca="1" si="55"/>
        <v>22.427109773649093</v>
      </c>
    </row>
    <row r="493" spans="3:11" x14ac:dyDescent="0.35">
      <c r="C493" t="str">
        <f t="shared" ca="1" si="49"/>
        <v>4Q2021</v>
      </c>
      <c r="D493" vm="978">
        <f ca="1"/>
        <v>44656</v>
      </c>
      <c r="E493" vm="979">
        <f ca="1"/>
        <v>25.931000000000001</v>
      </c>
      <c r="F493" s="3">
        <f t="shared" ca="1" si="50"/>
        <v>0.11979249800478851</v>
      </c>
      <c r="G493" s="3">
        <f t="shared" ca="1" si="51"/>
        <v>1.0618515562649642</v>
      </c>
      <c r="H493" s="3">
        <f t="shared" ca="1" si="52"/>
        <v>0.30498802873104547</v>
      </c>
      <c r="I493" s="3">
        <f t="shared" ca="1" si="53"/>
        <v>54.116494003997332</v>
      </c>
      <c r="J493" s="3">
        <f t="shared" ca="1" si="54"/>
        <v>6.105137730176625</v>
      </c>
      <c r="K493" s="3">
        <f t="shared" ca="1" si="55"/>
        <v>21.255752322386499</v>
      </c>
    </row>
    <row r="494" spans="3:11" x14ac:dyDescent="0.35">
      <c r="C494" t="str">
        <f t="shared" ca="1" si="49"/>
        <v>4Q2021</v>
      </c>
      <c r="D494" vm="980">
        <f ca="1"/>
        <v>44657</v>
      </c>
      <c r="E494" vm="981">
        <f ca="1"/>
        <v>24.407</v>
      </c>
      <c r="F494" s="3">
        <f t="shared" ca="1" si="50"/>
        <v>0.11979249800478851</v>
      </c>
      <c r="G494" s="3">
        <f t="shared" ca="1" si="51"/>
        <v>1.0618515562649642</v>
      </c>
      <c r="H494" s="3">
        <f t="shared" ca="1" si="52"/>
        <v>0.30498802873104547</v>
      </c>
      <c r="I494" s="3">
        <f t="shared" ca="1" si="53"/>
        <v>50.935994337108589</v>
      </c>
      <c r="J494" s="3">
        <f t="shared" ca="1" si="54"/>
        <v>5.7463305148440433</v>
      </c>
      <c r="K494" s="3">
        <f t="shared" ca="1" si="55"/>
        <v>20.006522962187624</v>
      </c>
    </row>
    <row r="495" spans="3:11" x14ac:dyDescent="0.35">
      <c r="C495" t="str">
        <f t="shared" ca="1" si="49"/>
        <v>4Q2021</v>
      </c>
      <c r="D495" vm="982">
        <f ca="1"/>
        <v>44658</v>
      </c>
      <c r="E495" vm="983">
        <f ca="1"/>
        <v>24.207999999999998</v>
      </c>
      <c r="F495" s="3">
        <f t="shared" ca="1" si="50"/>
        <v>0.11979249800478851</v>
      </c>
      <c r="G495" s="3">
        <f t="shared" ca="1" si="51"/>
        <v>1.0618515562649642</v>
      </c>
      <c r="H495" s="3">
        <f t="shared" ca="1" si="52"/>
        <v>0.30498802873104547</v>
      </c>
      <c r="I495" s="3">
        <f t="shared" ca="1" si="53"/>
        <v>50.520692871419051</v>
      </c>
      <c r="J495" s="3">
        <f t="shared" ca="1" si="54"/>
        <v>5.6994783915821108</v>
      </c>
      <c r="K495" s="3">
        <f t="shared" ca="1" si="55"/>
        <v>19.843401805573727</v>
      </c>
    </row>
    <row r="496" spans="3:11" x14ac:dyDescent="0.35">
      <c r="C496" t="str">
        <f t="shared" ca="1" si="49"/>
        <v>4Q2021</v>
      </c>
      <c r="D496" vm="984">
        <f ca="1"/>
        <v>44659</v>
      </c>
      <c r="E496" vm="985">
        <f ca="1"/>
        <v>23.119</v>
      </c>
      <c r="F496" s="3">
        <f t="shared" ca="1" si="50"/>
        <v>0.11979249800478851</v>
      </c>
      <c r="G496" s="3">
        <f t="shared" ca="1" si="51"/>
        <v>1.0618515562649642</v>
      </c>
      <c r="H496" s="3">
        <f t="shared" ca="1" si="52"/>
        <v>0.30498802873104547</v>
      </c>
      <c r="I496" s="3">
        <f t="shared" ca="1" si="53"/>
        <v>48.248012991339102</v>
      </c>
      <c r="J496" s="3">
        <f t="shared" ca="1" si="54"/>
        <v>5.4430866215708376</v>
      </c>
      <c r="K496" s="3">
        <f t="shared" ca="1" si="55"/>
        <v>18.950743817872564</v>
      </c>
    </row>
    <row r="497" spans="3:11" x14ac:dyDescent="0.35">
      <c r="C497" t="str">
        <f t="shared" ca="1" si="49"/>
        <v>4Q2021</v>
      </c>
      <c r="D497" vm="986">
        <f ca="1"/>
        <v>44662</v>
      </c>
      <c r="E497" vm="987">
        <f ca="1"/>
        <v>21.917000000000002</v>
      </c>
      <c r="F497" s="3">
        <f t="shared" ca="1" si="50"/>
        <v>0.11979249800478851</v>
      </c>
      <c r="G497" s="3">
        <f t="shared" ca="1" si="51"/>
        <v>1.0618515562649642</v>
      </c>
      <c r="H497" s="3">
        <f t="shared" ca="1" si="52"/>
        <v>0.30498802873104547</v>
      </c>
      <c r="I497" s="3">
        <f t="shared" ca="1" si="53"/>
        <v>45.739508660892739</v>
      </c>
      <c r="J497" s="3">
        <f t="shared" ca="1" si="54"/>
        <v>5.1600903795565571</v>
      </c>
      <c r="K497" s="3">
        <f t="shared" ca="1" si="55"/>
        <v>17.965459243752456</v>
      </c>
    </row>
    <row r="498" spans="3:11" x14ac:dyDescent="0.35">
      <c r="C498" t="str">
        <f t="shared" ca="1" si="49"/>
        <v>4Q2021</v>
      </c>
      <c r="D498" vm="988">
        <f ca="1"/>
        <v>44663</v>
      </c>
      <c r="E498" vm="989">
        <f ca="1"/>
        <v>21.504000000000001</v>
      </c>
      <c r="F498" s="3">
        <f t="shared" ca="1" si="50"/>
        <v>0.11979249800478851</v>
      </c>
      <c r="G498" s="3">
        <f t="shared" ca="1" si="51"/>
        <v>1.0618515562649642</v>
      </c>
      <c r="H498" s="3">
        <f t="shared" ca="1" si="52"/>
        <v>0.30498802873104547</v>
      </c>
      <c r="I498" s="3">
        <f t="shared" ca="1" si="53"/>
        <v>44.877601598934042</v>
      </c>
      <c r="J498" s="3">
        <f t="shared" ca="1" si="54"/>
        <v>5.0628545659526489</v>
      </c>
      <c r="K498" s="3">
        <f t="shared" ca="1" si="55"/>
        <v>17.626921365955781</v>
      </c>
    </row>
    <row r="499" spans="3:11" x14ac:dyDescent="0.35">
      <c r="C499" t="str">
        <f t="shared" ca="1" si="49"/>
        <v>4Q2021</v>
      </c>
      <c r="D499" vm="990">
        <f ca="1"/>
        <v>44664</v>
      </c>
      <c r="E499" vm="991">
        <f ca="1"/>
        <v>22.202999999999999</v>
      </c>
      <c r="F499" s="3">
        <f t="shared" ca="1" si="50"/>
        <v>0.11979249800478851</v>
      </c>
      <c r="G499" s="3">
        <f t="shared" ca="1" si="51"/>
        <v>1.0618515562649642</v>
      </c>
      <c r="H499" s="3">
        <f t="shared" ca="1" si="52"/>
        <v>0.30498802873104547</v>
      </c>
      <c r="I499" s="3">
        <f t="shared" ca="1" si="53"/>
        <v>46.336374083944037</v>
      </c>
      <c r="J499" s="3">
        <f t="shared" ca="1" si="54"/>
        <v>5.2274255918827501</v>
      </c>
      <c r="K499" s="3">
        <f t="shared" ca="1" si="55"/>
        <v>18.199894674865892</v>
      </c>
    </row>
    <row r="500" spans="3:11" x14ac:dyDescent="0.35">
      <c r="C500" t="str">
        <f t="shared" ca="1" si="49"/>
        <v>4Q2021</v>
      </c>
      <c r="D500" vm="992">
        <f ca="1"/>
        <v>44665</v>
      </c>
      <c r="E500" vm="993">
        <f ca="1"/>
        <v>21.257999999999999</v>
      </c>
      <c r="F500" s="3">
        <f t="shared" ca="1" si="50"/>
        <v>0.11979249800478851</v>
      </c>
      <c r="G500" s="3">
        <f t="shared" ca="1" si="51"/>
        <v>1.0618515562649642</v>
      </c>
      <c r="H500" s="3">
        <f t="shared" ca="1" si="52"/>
        <v>0.30498802873104547</v>
      </c>
      <c r="I500" s="3">
        <f t="shared" ca="1" si="53"/>
        <v>44.364213857428375</v>
      </c>
      <c r="J500" s="3">
        <f t="shared" ca="1" si="54"/>
        <v>5.0049368658399089</v>
      </c>
      <c r="K500" s="3">
        <f t="shared" ca="1" si="55"/>
        <v>17.425274107026038</v>
      </c>
    </row>
    <row r="501" spans="3:11" x14ac:dyDescent="0.35">
      <c r="C501" t="str">
        <f t="shared" ca="1" si="49"/>
        <v>4Q2021</v>
      </c>
      <c r="D501" vm="994">
        <f ca="1"/>
        <v>44669</v>
      </c>
      <c r="E501" vm="995">
        <f ca="1"/>
        <v>21.783000000000001</v>
      </c>
      <c r="F501" s="3">
        <f t="shared" ca="1" si="50"/>
        <v>0.11979249800478851</v>
      </c>
      <c r="G501" s="3">
        <f t="shared" ca="1" si="51"/>
        <v>1.0618515562649642</v>
      </c>
      <c r="H501" s="3">
        <f t="shared" ca="1" si="52"/>
        <v>0.30498802873104547</v>
      </c>
      <c r="I501" s="3">
        <f t="shared" ca="1" si="53"/>
        <v>45.459858427714856</v>
      </c>
      <c r="J501" s="3">
        <f t="shared" ca="1" si="54"/>
        <v>5.1285417136414884</v>
      </c>
      <c r="K501" s="3">
        <f t="shared" ca="1" si="55"/>
        <v>17.855618866937068</v>
      </c>
    </row>
    <row r="502" spans="3:11" x14ac:dyDescent="0.35">
      <c r="C502" t="str">
        <f t="shared" ca="1" si="49"/>
        <v>4Q2021</v>
      </c>
      <c r="D502" vm="996">
        <f ca="1"/>
        <v>44670</v>
      </c>
      <c r="E502" vm="997">
        <f ca="1"/>
        <v>22.198</v>
      </c>
      <c r="F502" s="3">
        <f t="shared" ca="1" si="50"/>
        <v>0.11979249800478851</v>
      </c>
      <c r="G502" s="3">
        <f t="shared" ca="1" si="51"/>
        <v>1.0618515562649642</v>
      </c>
      <c r="H502" s="3">
        <f t="shared" ca="1" si="52"/>
        <v>0.30498802873104547</v>
      </c>
      <c r="I502" s="3">
        <f t="shared" ca="1" si="53"/>
        <v>46.325939373750828</v>
      </c>
      <c r="J502" s="3">
        <f t="shared" ca="1" si="54"/>
        <v>5.2262484028560685</v>
      </c>
      <c r="K502" s="3">
        <f t="shared" ca="1" si="55"/>
        <v>18.195796153342929</v>
      </c>
    </row>
    <row r="503" spans="3:11" x14ac:dyDescent="0.35">
      <c r="C503" t="str">
        <f t="shared" ca="1" si="49"/>
        <v>4Q2021</v>
      </c>
      <c r="D503" vm="998">
        <f ca="1"/>
        <v>44671</v>
      </c>
      <c r="E503" vm="999">
        <f ca="1"/>
        <v>21.481999999999999</v>
      </c>
      <c r="F503" s="3">
        <f t="shared" ca="1" si="50"/>
        <v>0.11979249800478851</v>
      </c>
      <c r="G503" s="3">
        <f t="shared" ca="1" si="51"/>
        <v>1.0618515562649642</v>
      </c>
      <c r="H503" s="3">
        <f t="shared" ca="1" si="52"/>
        <v>0.30498802873104547</v>
      </c>
      <c r="I503" s="3">
        <f t="shared" ca="1" si="53"/>
        <v>44.831688874083937</v>
      </c>
      <c r="J503" s="3">
        <f t="shared" ca="1" si="54"/>
        <v>5.0576749342352496</v>
      </c>
      <c r="K503" s="3">
        <f t="shared" ca="1" si="55"/>
        <v>17.608887871254744</v>
      </c>
    </row>
    <row r="504" spans="3:11" x14ac:dyDescent="0.35">
      <c r="C504" t="str">
        <f t="shared" ca="1" si="49"/>
        <v>4Q2021</v>
      </c>
      <c r="D504" vm="1000">
        <f ca="1"/>
        <v>44672</v>
      </c>
      <c r="E504" vm="1001">
        <f ca="1"/>
        <v>20.183</v>
      </c>
      <c r="F504" s="3">
        <f t="shared" ca="1" si="50"/>
        <v>0.11979249800478851</v>
      </c>
      <c r="G504" s="3">
        <f t="shared" ca="1" si="51"/>
        <v>1.0618515562649642</v>
      </c>
      <c r="H504" s="3">
        <f t="shared" ca="1" si="52"/>
        <v>0.30498802873104547</v>
      </c>
      <c r="I504" s="3">
        <f t="shared" ca="1" si="53"/>
        <v>42.120751165889402</v>
      </c>
      <c r="J504" s="3">
        <f t="shared" ca="1" si="54"/>
        <v>4.7518412251033437</v>
      </c>
      <c r="K504" s="3">
        <f t="shared" ca="1" si="55"/>
        <v>16.544091979589169</v>
      </c>
    </row>
    <row r="505" spans="3:11" x14ac:dyDescent="0.35">
      <c r="C505" t="str">
        <f t="shared" ca="1" si="49"/>
        <v>4Q2021</v>
      </c>
      <c r="D505" vm="1002">
        <f ca="1"/>
        <v>44673</v>
      </c>
      <c r="E505" vm="1003">
        <f ca="1"/>
        <v>19.515000000000001</v>
      </c>
      <c r="F505" s="3">
        <f t="shared" ca="1" si="50"/>
        <v>0.11979249800478851</v>
      </c>
      <c r="G505" s="3">
        <f t="shared" ca="1" si="51"/>
        <v>1.0618515562649642</v>
      </c>
      <c r="H505" s="3">
        <f t="shared" ca="1" si="52"/>
        <v>0.30498802873104547</v>
      </c>
      <c r="I505" s="3">
        <f t="shared" ca="1" si="53"/>
        <v>40.726673884077279</v>
      </c>
      <c r="J505" s="3">
        <f t="shared" ca="1" si="54"/>
        <v>4.5945687711386691</v>
      </c>
      <c r="K505" s="3">
        <f t="shared" ca="1" si="55"/>
        <v>15.996529504121419</v>
      </c>
    </row>
    <row r="506" spans="3:11" x14ac:dyDescent="0.35">
      <c r="C506" t="str">
        <f t="shared" ca="1" si="49"/>
        <v>4Q2021</v>
      </c>
      <c r="D506" vm="1004">
        <f ca="1"/>
        <v>44676</v>
      </c>
      <c r="E506" vm="1005">
        <f ca="1"/>
        <v>19.902000000000001</v>
      </c>
      <c r="F506" s="3">
        <f t="shared" ca="1" si="50"/>
        <v>0.11979249800478851</v>
      </c>
      <c r="G506" s="3">
        <f t="shared" ca="1" si="51"/>
        <v>1.0618515562649642</v>
      </c>
      <c r="H506" s="3">
        <f t="shared" ca="1" si="52"/>
        <v>0.30498802873104547</v>
      </c>
      <c r="I506" s="3">
        <f t="shared" ca="1" si="53"/>
        <v>41.534320453031313</v>
      </c>
      <c r="J506" s="3">
        <f t="shared" ca="1" si="54"/>
        <v>4.6856832018038332</v>
      </c>
      <c r="K506" s="3">
        <f t="shared" ca="1" si="55"/>
        <v>16.313755069998695</v>
      </c>
    </row>
    <row r="507" spans="3:11" x14ac:dyDescent="0.35">
      <c r="C507" t="str">
        <f t="shared" ca="1" si="49"/>
        <v>4Q2021</v>
      </c>
      <c r="D507" vm="1006">
        <f ca="1"/>
        <v>44677</v>
      </c>
      <c r="E507" vm="1007">
        <f ca="1"/>
        <v>18.788</v>
      </c>
      <c r="F507" s="3">
        <f t="shared" ca="1" si="50"/>
        <v>0.11979249800478851</v>
      </c>
      <c r="G507" s="3">
        <f t="shared" ca="1" si="51"/>
        <v>1.0618515562649642</v>
      </c>
      <c r="H507" s="3">
        <f t="shared" ca="1" si="52"/>
        <v>0.30498802873104547</v>
      </c>
      <c r="I507" s="3">
        <f t="shared" ca="1" si="53"/>
        <v>39.20946702198534</v>
      </c>
      <c r="J507" s="3">
        <f t="shared" ca="1" si="54"/>
        <v>4.4234054866591501</v>
      </c>
      <c r="K507" s="3">
        <f t="shared" ca="1" si="55"/>
        <v>15.400604474682718</v>
      </c>
    </row>
    <row r="508" spans="3:11" x14ac:dyDescent="0.35">
      <c r="C508" t="str">
        <f t="shared" ca="1" si="49"/>
        <v>4Q2021</v>
      </c>
      <c r="D508" vm="1008">
        <f ca="1"/>
        <v>44678</v>
      </c>
      <c r="E508" vm="1009">
        <f ca="1"/>
        <v>18.414999999999999</v>
      </c>
      <c r="F508" s="3">
        <f t="shared" ca="1" si="50"/>
        <v>0.11979249800478851</v>
      </c>
      <c r="G508" s="3">
        <f t="shared" ca="1" si="51"/>
        <v>1.0618515562649642</v>
      </c>
      <c r="H508" s="3">
        <f t="shared" ca="1" si="52"/>
        <v>0.30498802873104547</v>
      </c>
      <c r="I508" s="3">
        <f t="shared" ca="1" si="53"/>
        <v>38.431037641572281</v>
      </c>
      <c r="J508" s="3">
        <f t="shared" ca="1" si="54"/>
        <v>4.3355871852686949</v>
      </c>
      <c r="K508" s="3">
        <f t="shared" ca="1" si="55"/>
        <v>15.094854769069737</v>
      </c>
    </row>
    <row r="509" spans="3:11" x14ac:dyDescent="0.35">
      <c r="C509" t="str">
        <f t="shared" ca="1" si="49"/>
        <v>4Q2021</v>
      </c>
      <c r="D509" vm="1010">
        <f ca="1"/>
        <v>44679</v>
      </c>
      <c r="E509" vm="1011">
        <f ca="1"/>
        <v>19.782</v>
      </c>
      <c r="F509" s="3">
        <f t="shared" ca="1" si="50"/>
        <v>0.11979249800478851</v>
      </c>
      <c r="G509" s="3">
        <f t="shared" ca="1" si="51"/>
        <v>1.0618515562649642</v>
      </c>
      <c r="H509" s="3">
        <f t="shared" ca="1" si="52"/>
        <v>0.30498802873104547</v>
      </c>
      <c r="I509" s="3">
        <f t="shared" ca="1" si="53"/>
        <v>41.283887408394399</v>
      </c>
      <c r="J509" s="3">
        <f t="shared" ca="1" si="54"/>
        <v>4.6574306651634716</v>
      </c>
      <c r="K509" s="3">
        <f t="shared" ca="1" si="55"/>
        <v>16.215390553447602</v>
      </c>
    </row>
    <row r="510" spans="3:11" x14ac:dyDescent="0.35">
      <c r="C510" t="str">
        <f t="shared" ca="1" si="49"/>
        <v>4Q2021</v>
      </c>
      <c r="D510" vm="1012">
        <f ca="1"/>
        <v>44680</v>
      </c>
      <c r="E510" vm="1013">
        <f ca="1"/>
        <v>18.547000000000001</v>
      </c>
      <c r="F510" s="3">
        <f t="shared" ca="1" si="50"/>
        <v>0.11979249800478851</v>
      </c>
      <c r="G510" s="3">
        <f t="shared" ca="1" si="51"/>
        <v>1.0618515562649642</v>
      </c>
      <c r="H510" s="3">
        <f t="shared" ca="1" si="52"/>
        <v>0.30498802873104547</v>
      </c>
      <c r="I510" s="3">
        <f t="shared" ca="1" si="53"/>
        <v>38.706513990672882</v>
      </c>
      <c r="J510" s="3">
        <f t="shared" ca="1" si="54"/>
        <v>4.3666649755730926</v>
      </c>
      <c r="K510" s="3">
        <f t="shared" ca="1" si="55"/>
        <v>15.203055737275941</v>
      </c>
    </row>
    <row r="511" spans="3:11" x14ac:dyDescent="0.35">
      <c r="C511" t="str">
        <f t="shared" ca="1" si="49"/>
        <v>1Q2022</v>
      </c>
      <c r="D511" vm="1014">
        <f ca="1"/>
        <v>44683</v>
      </c>
      <c r="E511" vm="1015">
        <f ca="1"/>
        <v>19.533000000000001</v>
      </c>
      <c r="F511" s="3">
        <f t="shared" ca="1" si="50"/>
        <v>6.4616613418530353E-2</v>
      </c>
      <c r="G511" s="3">
        <f t="shared" ca="1" si="51"/>
        <v>1.0511182108626198</v>
      </c>
      <c r="H511" s="3">
        <f t="shared" ca="1" si="52"/>
        <v>0.33099041533546325</v>
      </c>
      <c r="I511" s="3">
        <f t="shared" ca="1" si="53"/>
        <v>75.572669962917189</v>
      </c>
      <c r="J511" s="3">
        <f t="shared" ca="1" si="54"/>
        <v>4.6457667173252286</v>
      </c>
      <c r="K511" s="3">
        <f t="shared" ca="1" si="55"/>
        <v>14.75344835907336</v>
      </c>
    </row>
    <row r="512" spans="3:11" x14ac:dyDescent="0.35">
      <c r="C512" t="str">
        <f t="shared" ca="1" si="49"/>
        <v>1Q2022</v>
      </c>
      <c r="D512" vm="1016">
        <f ca="1"/>
        <v>44684</v>
      </c>
      <c r="E512" vm="1017">
        <f ca="1"/>
        <v>19.602</v>
      </c>
      <c r="F512" s="3">
        <f t="shared" ca="1" si="50"/>
        <v>6.4616613418530353E-2</v>
      </c>
      <c r="G512" s="3">
        <f t="shared" ca="1" si="51"/>
        <v>1.0511182108626198</v>
      </c>
      <c r="H512" s="3">
        <f t="shared" ca="1" si="52"/>
        <v>0.33099041533546325</v>
      </c>
      <c r="I512" s="3">
        <f t="shared" ca="1" si="53"/>
        <v>75.839629171817052</v>
      </c>
      <c r="J512" s="3">
        <f t="shared" ca="1" si="54"/>
        <v>4.6621778115501522</v>
      </c>
      <c r="K512" s="3">
        <f t="shared" ca="1" si="55"/>
        <v>14.805564671814672</v>
      </c>
    </row>
    <row r="513" spans="3:11" x14ac:dyDescent="0.35">
      <c r="C513" t="str">
        <f t="shared" ca="1" si="49"/>
        <v>1Q2022</v>
      </c>
      <c r="D513" vm="1018">
        <f ca="1"/>
        <v>44685</v>
      </c>
      <c r="E513" vm="1019">
        <f ca="1"/>
        <v>20.334</v>
      </c>
      <c r="F513" s="3">
        <f t="shared" ca="1" si="50"/>
        <v>6.4616613418530353E-2</v>
      </c>
      <c r="G513" s="3">
        <f t="shared" ca="1" si="51"/>
        <v>1.0511182108626198</v>
      </c>
      <c r="H513" s="3">
        <f t="shared" ca="1" si="52"/>
        <v>0.33099041533546325</v>
      </c>
      <c r="I513" s="3">
        <f t="shared" ca="1" si="53"/>
        <v>78.671718170580959</v>
      </c>
      <c r="J513" s="3">
        <f t="shared" ca="1" si="54"/>
        <v>4.8362781155015195</v>
      </c>
      <c r="K513" s="3">
        <f t="shared" ca="1" si="55"/>
        <v>15.358450772200772</v>
      </c>
    </row>
    <row r="514" spans="3:11" x14ac:dyDescent="0.35">
      <c r="C514" t="str">
        <f t="shared" ca="1" si="49"/>
        <v>1Q2022</v>
      </c>
      <c r="D514" vm="1020">
        <f ca="1"/>
        <v>44686</v>
      </c>
      <c r="E514" vm="1021">
        <f ca="1"/>
        <v>18.844000000000001</v>
      </c>
      <c r="F514" s="3">
        <f t="shared" ca="1" si="50"/>
        <v>6.4616613418530353E-2</v>
      </c>
      <c r="G514" s="3">
        <f t="shared" ca="1" si="51"/>
        <v>1.0511182108626198</v>
      </c>
      <c r="H514" s="3">
        <f t="shared" ca="1" si="52"/>
        <v>0.33099041533546325</v>
      </c>
      <c r="I514" s="3">
        <f t="shared" ca="1" si="53"/>
        <v>72.906946847960455</v>
      </c>
      <c r="J514" s="3">
        <f t="shared" ca="1" si="54"/>
        <v>4.4818936170212771</v>
      </c>
      <c r="K514" s="3">
        <f t="shared" ca="1" si="55"/>
        <v>14.233040540540541</v>
      </c>
    </row>
    <row r="515" spans="3:11" x14ac:dyDescent="0.35">
      <c r="C515" t="str">
        <f t="shared" ref="C515:C578" ca="1" si="56">LOOKUP(D515,$N$2:$N$27,$M$2:$M$27)</f>
        <v>1Q2022</v>
      </c>
      <c r="D515" vm="1022">
        <f ca="1"/>
        <v>44687</v>
      </c>
      <c r="E515" vm="1023">
        <f ca="1"/>
        <v>18.675000000000001</v>
      </c>
      <c r="F515" s="3">
        <f t="shared" ca="1" si="50"/>
        <v>6.4616613418530353E-2</v>
      </c>
      <c r="G515" s="3">
        <f t="shared" ca="1" si="51"/>
        <v>1.0511182108626198</v>
      </c>
      <c r="H515" s="3">
        <f t="shared" ca="1" si="52"/>
        <v>0.33099041533546325</v>
      </c>
      <c r="I515" s="3">
        <f t="shared" ca="1" si="53"/>
        <v>72.253090234857851</v>
      </c>
      <c r="J515" s="3">
        <f t="shared" ca="1" si="54"/>
        <v>4.4416983282674778</v>
      </c>
      <c r="K515" s="3">
        <f t="shared" ca="1" si="55"/>
        <v>14.105393339768341</v>
      </c>
    </row>
    <row r="516" spans="3:11" x14ac:dyDescent="0.35">
      <c r="C516" t="str">
        <f t="shared" ca="1" si="56"/>
        <v>1Q2022</v>
      </c>
      <c r="D516" vm="1024">
        <f ca="1"/>
        <v>44690</v>
      </c>
      <c r="E516" vm="1025">
        <f ca="1"/>
        <v>16.95</v>
      </c>
      <c r="F516" s="3">
        <f t="shared" ref="F516:F579" ca="1" si="57">VLOOKUP($C516,$M$2:$R$27,4,0)/VLOOKUP($C516,$M$2:$R$27,3,0)</f>
        <v>6.4616613418530353E-2</v>
      </c>
      <c r="G516" s="3">
        <f t="shared" ref="G516:G579" ca="1" si="58">VLOOKUP($C516,$M$2:$R$27,6,0)/VLOOKUP($C516,$M$2:$R$27,3,0)</f>
        <v>1.0511182108626198</v>
      </c>
      <c r="H516" s="3">
        <f t="shared" ref="H516:H579" ca="1" si="59">VLOOKUP($C516,$M$2:$R$27,5,0)/VLOOKUP($C516,$M$2:$R$27,3,0)</f>
        <v>0.33099041533546325</v>
      </c>
      <c r="I516" s="3">
        <f t="shared" ref="I516:I579" ca="1" si="60">$E516/(F516*4)</f>
        <v>65.579110012360943</v>
      </c>
      <c r="J516" s="3">
        <f t="shared" ref="J516:J579" ca="1" si="61">$E516/(G516*4)</f>
        <v>4.0314209726443764</v>
      </c>
      <c r="K516" s="3">
        <f t="shared" ref="K516:K579" ca="1" si="62">$E516/(H516*4)</f>
        <v>12.802485521235521</v>
      </c>
    </row>
    <row r="517" spans="3:11" x14ac:dyDescent="0.35">
      <c r="C517" t="str">
        <f t="shared" ca="1" si="56"/>
        <v>1Q2022</v>
      </c>
      <c r="D517" vm="1026">
        <f ca="1"/>
        <v>44691</v>
      </c>
      <c r="E517" vm="1027">
        <f ca="1"/>
        <v>17.594999999999999</v>
      </c>
      <c r="F517" s="3">
        <f t="shared" ca="1" si="57"/>
        <v>6.4616613418530353E-2</v>
      </c>
      <c r="G517" s="3">
        <f t="shared" ca="1" si="58"/>
        <v>1.0511182108626198</v>
      </c>
      <c r="H517" s="3">
        <f t="shared" ca="1" si="59"/>
        <v>0.33099041533546325</v>
      </c>
      <c r="I517" s="3">
        <f t="shared" ca="1" si="60"/>
        <v>68.074598269468467</v>
      </c>
      <c r="J517" s="3">
        <f t="shared" ca="1" si="61"/>
        <v>4.1848290273556232</v>
      </c>
      <c r="K517" s="3">
        <f t="shared" ca="1" si="62"/>
        <v>13.289659749034749</v>
      </c>
    </row>
    <row r="518" spans="3:11" x14ac:dyDescent="0.35">
      <c r="C518" t="str">
        <f t="shared" ca="1" si="56"/>
        <v>1Q2022</v>
      </c>
      <c r="D518" vm="1028">
        <f ca="1"/>
        <v>44692</v>
      </c>
      <c r="E518" vm="1029">
        <f ca="1"/>
        <v>16.63</v>
      </c>
      <c r="F518" s="3">
        <f t="shared" ca="1" si="57"/>
        <v>6.4616613418530353E-2</v>
      </c>
      <c r="G518" s="3">
        <f t="shared" ca="1" si="58"/>
        <v>1.0511182108626198</v>
      </c>
      <c r="H518" s="3">
        <f t="shared" ca="1" si="59"/>
        <v>0.33099041533546325</v>
      </c>
      <c r="I518" s="3">
        <f t="shared" ca="1" si="60"/>
        <v>64.341038318912226</v>
      </c>
      <c r="J518" s="3">
        <f t="shared" ca="1" si="61"/>
        <v>3.9553115501519756</v>
      </c>
      <c r="K518" s="3">
        <f t="shared" ca="1" si="62"/>
        <v>12.56078667953668</v>
      </c>
    </row>
    <row r="519" spans="3:11" x14ac:dyDescent="0.35">
      <c r="C519" t="str">
        <f t="shared" ca="1" si="56"/>
        <v>1Q2022</v>
      </c>
      <c r="D519" vm="1030">
        <f ca="1"/>
        <v>44693</v>
      </c>
      <c r="E519" vm="1031">
        <f ca="1"/>
        <v>16.175000000000001</v>
      </c>
      <c r="F519" s="3">
        <f t="shared" ca="1" si="57"/>
        <v>6.4616613418530353E-2</v>
      </c>
      <c r="G519" s="3">
        <f t="shared" ca="1" si="58"/>
        <v>1.0511182108626198</v>
      </c>
      <c r="H519" s="3">
        <f t="shared" ca="1" si="59"/>
        <v>0.33099041533546325</v>
      </c>
      <c r="I519" s="3">
        <f t="shared" ca="1" si="60"/>
        <v>62.580655129789868</v>
      </c>
      <c r="J519" s="3">
        <f t="shared" ca="1" si="61"/>
        <v>3.8470934650455928</v>
      </c>
      <c r="K519" s="3">
        <f t="shared" ca="1" si="62"/>
        <v>12.21712113899614</v>
      </c>
    </row>
    <row r="520" spans="3:11" x14ac:dyDescent="0.35">
      <c r="C520" t="str">
        <f t="shared" ca="1" si="56"/>
        <v>1Q2022</v>
      </c>
      <c r="D520" vm="1032">
        <f ca="1"/>
        <v>44694</v>
      </c>
      <c r="E520" vm="1033">
        <f ca="1"/>
        <v>17.706</v>
      </c>
      <c r="F520" s="3">
        <f t="shared" ca="1" si="57"/>
        <v>6.4616613418530353E-2</v>
      </c>
      <c r="G520" s="3">
        <f t="shared" ca="1" si="58"/>
        <v>1.0511182108626198</v>
      </c>
      <c r="H520" s="3">
        <f t="shared" ca="1" si="59"/>
        <v>0.33099041533546325</v>
      </c>
      <c r="I520" s="3">
        <f t="shared" ca="1" si="60"/>
        <v>68.504054388133497</v>
      </c>
      <c r="J520" s="3">
        <f t="shared" ca="1" si="61"/>
        <v>4.2112294832826747</v>
      </c>
      <c r="K520" s="3">
        <f t="shared" ca="1" si="62"/>
        <v>13.373499034749035</v>
      </c>
    </row>
    <row r="521" spans="3:11" x14ac:dyDescent="0.35">
      <c r="C521" t="str">
        <f t="shared" ca="1" si="56"/>
        <v>1Q2022</v>
      </c>
      <c r="D521" vm="1034">
        <f ca="1"/>
        <v>44697</v>
      </c>
      <c r="E521" vm="1035">
        <f ca="1"/>
        <v>17.263999999999999</v>
      </c>
      <c r="F521" s="3">
        <f t="shared" ca="1" si="57"/>
        <v>6.4616613418530353E-2</v>
      </c>
      <c r="G521" s="3">
        <f t="shared" ca="1" si="58"/>
        <v>1.0511182108626198</v>
      </c>
      <c r="H521" s="3">
        <f t="shared" ca="1" si="59"/>
        <v>0.33099041533546325</v>
      </c>
      <c r="I521" s="3">
        <f t="shared" ca="1" si="60"/>
        <v>66.793967861557476</v>
      </c>
      <c r="J521" s="3">
        <f t="shared" ca="1" si="61"/>
        <v>4.1061033434650458</v>
      </c>
      <c r="K521" s="3">
        <f t="shared" ca="1" si="62"/>
        <v>13.039652509652509</v>
      </c>
    </row>
    <row r="522" spans="3:11" x14ac:dyDescent="0.35">
      <c r="C522" t="str">
        <f t="shared" ca="1" si="56"/>
        <v>1Q2022</v>
      </c>
      <c r="D522" vm="1036">
        <f ca="1"/>
        <v>44698</v>
      </c>
      <c r="E522" vm="1037">
        <f ca="1"/>
        <v>18.177</v>
      </c>
      <c r="F522" s="3">
        <f t="shared" ca="1" si="57"/>
        <v>6.4616613418530353E-2</v>
      </c>
      <c r="G522" s="3">
        <f t="shared" ca="1" si="58"/>
        <v>1.0511182108626198</v>
      </c>
      <c r="H522" s="3">
        <f t="shared" ca="1" si="59"/>
        <v>0.33099041533546325</v>
      </c>
      <c r="I522" s="3">
        <f t="shared" ca="1" si="60"/>
        <v>70.326341161928298</v>
      </c>
      <c r="J522" s="3">
        <f t="shared" ca="1" si="61"/>
        <v>4.3232530395136779</v>
      </c>
      <c r="K522" s="3">
        <f t="shared" ca="1" si="62"/>
        <v>13.729249517374518</v>
      </c>
    </row>
    <row r="523" spans="3:11" x14ac:dyDescent="0.35">
      <c r="C523" t="str">
        <f t="shared" ca="1" si="56"/>
        <v>1Q2022</v>
      </c>
      <c r="D523" vm="1038">
        <f ca="1"/>
        <v>44699</v>
      </c>
      <c r="E523" vm="1039">
        <f ca="1"/>
        <v>16.937999999999999</v>
      </c>
      <c r="F523" s="3">
        <f t="shared" ca="1" si="57"/>
        <v>6.4616613418530353E-2</v>
      </c>
      <c r="G523" s="3">
        <f t="shared" ca="1" si="58"/>
        <v>1.0511182108626198</v>
      </c>
      <c r="H523" s="3">
        <f t="shared" ca="1" si="59"/>
        <v>0.33099041533546325</v>
      </c>
      <c r="I523" s="3">
        <f t="shared" ca="1" si="60"/>
        <v>65.532682323856605</v>
      </c>
      <c r="J523" s="3">
        <f t="shared" ca="1" si="61"/>
        <v>4.0285668693009118</v>
      </c>
      <c r="K523" s="3">
        <f t="shared" ca="1" si="62"/>
        <v>12.793421814671815</v>
      </c>
    </row>
    <row r="524" spans="3:11" x14ac:dyDescent="0.35">
      <c r="C524" t="str">
        <f t="shared" ca="1" si="56"/>
        <v>1Q2022</v>
      </c>
      <c r="D524" vm="1040">
        <f ca="1"/>
        <v>44700</v>
      </c>
      <c r="E524" vm="1041">
        <f ca="1"/>
        <v>17.123999999999999</v>
      </c>
      <c r="F524" s="3">
        <f t="shared" ca="1" si="57"/>
        <v>6.4616613418530353E-2</v>
      </c>
      <c r="G524" s="3">
        <f t="shared" ca="1" si="58"/>
        <v>1.0511182108626198</v>
      </c>
      <c r="H524" s="3">
        <f t="shared" ca="1" si="59"/>
        <v>0.33099041533546325</v>
      </c>
      <c r="I524" s="3">
        <f t="shared" ca="1" si="60"/>
        <v>66.252311495673666</v>
      </c>
      <c r="J524" s="3">
        <f t="shared" ca="1" si="61"/>
        <v>4.07280547112462</v>
      </c>
      <c r="K524" s="3">
        <f t="shared" ca="1" si="62"/>
        <v>12.933909266409266</v>
      </c>
    </row>
    <row r="525" spans="3:11" x14ac:dyDescent="0.35">
      <c r="C525" t="str">
        <f t="shared" ca="1" si="56"/>
        <v>1Q2022</v>
      </c>
      <c r="D525" vm="1042">
        <f ca="1"/>
        <v>44701</v>
      </c>
      <c r="E525" vm="1043">
        <f ca="1"/>
        <v>16.693999999999999</v>
      </c>
      <c r="F525" s="3">
        <f t="shared" ca="1" si="57"/>
        <v>6.4616613418530353E-2</v>
      </c>
      <c r="G525" s="3">
        <f t="shared" ca="1" si="58"/>
        <v>1.0511182108626198</v>
      </c>
      <c r="H525" s="3">
        <f t="shared" ca="1" si="59"/>
        <v>0.33099041533546325</v>
      </c>
      <c r="I525" s="3">
        <f t="shared" ca="1" si="60"/>
        <v>64.588652657601969</v>
      </c>
      <c r="J525" s="3">
        <f t="shared" ca="1" si="61"/>
        <v>3.9705334346504557</v>
      </c>
      <c r="K525" s="3">
        <f t="shared" ca="1" si="62"/>
        <v>12.609126447876447</v>
      </c>
    </row>
    <row r="526" spans="3:11" x14ac:dyDescent="0.35">
      <c r="C526" t="str">
        <f t="shared" ca="1" si="56"/>
        <v>1Q2022</v>
      </c>
      <c r="D526" vm="1044">
        <f ca="1"/>
        <v>44704</v>
      </c>
      <c r="E526" vm="1045">
        <f ca="1"/>
        <v>16.898</v>
      </c>
      <c r="F526" s="3">
        <f t="shared" ca="1" si="57"/>
        <v>6.4616613418530353E-2</v>
      </c>
      <c r="G526" s="3">
        <f t="shared" ca="1" si="58"/>
        <v>1.0511182108626198</v>
      </c>
      <c r="H526" s="3">
        <f t="shared" ca="1" si="59"/>
        <v>0.33099041533546325</v>
      </c>
      <c r="I526" s="3">
        <f t="shared" ca="1" si="60"/>
        <v>65.377923362175522</v>
      </c>
      <c r="J526" s="3">
        <f t="shared" ca="1" si="61"/>
        <v>4.0190531914893617</v>
      </c>
      <c r="K526" s="3">
        <f t="shared" ca="1" si="62"/>
        <v>12.763209459459459</v>
      </c>
    </row>
    <row r="527" spans="3:11" x14ac:dyDescent="0.35">
      <c r="C527" t="str">
        <f t="shared" ca="1" si="56"/>
        <v>1Q2022</v>
      </c>
      <c r="D527" vm="1046">
        <f ca="1"/>
        <v>44705</v>
      </c>
      <c r="E527" vm="1047">
        <f ca="1"/>
        <v>16.154</v>
      </c>
      <c r="F527" s="3">
        <f t="shared" ca="1" si="57"/>
        <v>6.4616613418530353E-2</v>
      </c>
      <c r="G527" s="3">
        <f t="shared" ca="1" si="58"/>
        <v>1.0511182108626198</v>
      </c>
      <c r="H527" s="3">
        <f t="shared" ca="1" si="59"/>
        <v>0.33099041533546325</v>
      </c>
      <c r="I527" s="3">
        <f t="shared" ca="1" si="60"/>
        <v>62.499406674907291</v>
      </c>
      <c r="J527" s="3">
        <f t="shared" ca="1" si="61"/>
        <v>3.8420987841945289</v>
      </c>
      <c r="K527" s="3">
        <f t="shared" ca="1" si="62"/>
        <v>12.201259652509652</v>
      </c>
    </row>
    <row r="528" spans="3:11" x14ac:dyDescent="0.35">
      <c r="C528" t="str">
        <f t="shared" ca="1" si="56"/>
        <v>1Q2022</v>
      </c>
      <c r="D528" vm="1048">
        <f ca="1"/>
        <v>44706</v>
      </c>
      <c r="E528" vm="1049">
        <f ca="1"/>
        <v>16.975000000000001</v>
      </c>
      <c r="F528" s="3">
        <f t="shared" ca="1" si="57"/>
        <v>6.4616613418530353E-2</v>
      </c>
      <c r="G528" s="3">
        <f t="shared" ca="1" si="58"/>
        <v>1.0511182108626198</v>
      </c>
      <c r="H528" s="3">
        <f t="shared" ca="1" si="59"/>
        <v>0.33099041533546325</v>
      </c>
      <c r="I528" s="3">
        <f t="shared" ca="1" si="60"/>
        <v>65.675834363411624</v>
      </c>
      <c r="J528" s="3">
        <f t="shared" ca="1" si="61"/>
        <v>4.0373670212765962</v>
      </c>
      <c r="K528" s="3">
        <f t="shared" ca="1" si="62"/>
        <v>12.821368243243244</v>
      </c>
    </row>
    <row r="529" spans="3:11" x14ac:dyDescent="0.35">
      <c r="C529" t="str">
        <f t="shared" ca="1" si="56"/>
        <v>1Q2022</v>
      </c>
      <c r="D529" vm="1050">
        <f ca="1"/>
        <v>44707</v>
      </c>
      <c r="E529" vm="1051">
        <f ca="1"/>
        <v>17.850999999999999</v>
      </c>
      <c r="F529" s="3">
        <f t="shared" ca="1" si="57"/>
        <v>6.4616613418530353E-2</v>
      </c>
      <c r="G529" s="3">
        <f t="shared" ca="1" si="58"/>
        <v>1.0511182108626198</v>
      </c>
      <c r="H529" s="3">
        <f t="shared" ca="1" si="59"/>
        <v>0.33099041533546325</v>
      </c>
      <c r="I529" s="3">
        <f t="shared" ca="1" si="60"/>
        <v>69.06505562422744</v>
      </c>
      <c r="J529" s="3">
        <f t="shared" ca="1" si="61"/>
        <v>4.2457165653495439</v>
      </c>
      <c r="K529" s="3">
        <f t="shared" ca="1" si="62"/>
        <v>13.483018822393822</v>
      </c>
    </row>
    <row r="530" spans="3:11" x14ac:dyDescent="0.35">
      <c r="C530" t="str">
        <f t="shared" ca="1" si="56"/>
        <v>1Q2022</v>
      </c>
      <c r="D530" vm="1052">
        <f ca="1"/>
        <v>44708</v>
      </c>
      <c r="E530" vm="1053">
        <f ca="1"/>
        <v>18.811</v>
      </c>
      <c r="F530" s="3">
        <f t="shared" ca="1" si="57"/>
        <v>6.4616613418530353E-2</v>
      </c>
      <c r="G530" s="3">
        <f t="shared" ca="1" si="58"/>
        <v>1.0511182108626198</v>
      </c>
      <c r="H530" s="3">
        <f t="shared" ca="1" si="59"/>
        <v>0.33099041533546325</v>
      </c>
      <c r="I530" s="3">
        <f t="shared" ca="1" si="60"/>
        <v>72.779270704573548</v>
      </c>
      <c r="J530" s="3">
        <f t="shared" ca="1" si="61"/>
        <v>4.4740448328267481</v>
      </c>
      <c r="K530" s="3">
        <f t="shared" ca="1" si="62"/>
        <v>14.208115347490347</v>
      </c>
    </row>
    <row r="531" spans="3:11" x14ac:dyDescent="0.35">
      <c r="C531" t="str">
        <f t="shared" ca="1" si="56"/>
        <v>1Q2022</v>
      </c>
      <c r="D531" vm="1054">
        <f ca="1"/>
        <v>44712</v>
      </c>
      <c r="E531" vm="1055">
        <f ca="1"/>
        <v>18.672000000000001</v>
      </c>
      <c r="F531" s="3">
        <f t="shared" ca="1" si="57"/>
        <v>6.4616613418530353E-2</v>
      </c>
      <c r="G531" s="3">
        <f t="shared" ca="1" si="58"/>
        <v>1.0511182108626198</v>
      </c>
      <c r="H531" s="3">
        <f t="shared" ca="1" si="59"/>
        <v>0.33099041533546325</v>
      </c>
      <c r="I531" s="3">
        <f t="shared" ca="1" si="60"/>
        <v>72.241483312731773</v>
      </c>
      <c r="J531" s="3">
        <f t="shared" ca="1" si="61"/>
        <v>4.4409848024316112</v>
      </c>
      <c r="K531" s="3">
        <f t="shared" ca="1" si="62"/>
        <v>14.103127413127414</v>
      </c>
    </row>
    <row r="532" spans="3:11" x14ac:dyDescent="0.35">
      <c r="C532" t="str">
        <f t="shared" ca="1" si="56"/>
        <v>1Q2022</v>
      </c>
      <c r="D532" vm="1056">
        <f ca="1"/>
        <v>44713</v>
      </c>
      <c r="E532" vm="1057">
        <f ca="1"/>
        <v>18.32</v>
      </c>
      <c r="F532" s="3">
        <f t="shared" ca="1" si="57"/>
        <v>6.4616613418530353E-2</v>
      </c>
      <c r="G532" s="3">
        <f t="shared" ca="1" si="58"/>
        <v>1.0511182108626198</v>
      </c>
      <c r="H532" s="3">
        <f t="shared" ca="1" si="59"/>
        <v>0.33099041533546325</v>
      </c>
      <c r="I532" s="3">
        <f t="shared" ca="1" si="60"/>
        <v>70.879604449938199</v>
      </c>
      <c r="J532" s="3">
        <f t="shared" ca="1" si="61"/>
        <v>4.3572644376899694</v>
      </c>
      <c r="K532" s="3">
        <f t="shared" ca="1" si="62"/>
        <v>13.837258687258688</v>
      </c>
    </row>
    <row r="533" spans="3:11" x14ac:dyDescent="0.35">
      <c r="C533" t="str">
        <f t="shared" ca="1" si="56"/>
        <v>1Q2022</v>
      </c>
      <c r="D533" vm="1058">
        <f ca="1"/>
        <v>44714</v>
      </c>
      <c r="E533" vm="1059">
        <f ca="1"/>
        <v>19.591999999999999</v>
      </c>
      <c r="F533" s="3">
        <f t="shared" ca="1" si="57"/>
        <v>6.4616613418530353E-2</v>
      </c>
      <c r="G533" s="3">
        <f t="shared" ca="1" si="58"/>
        <v>1.0511182108626198</v>
      </c>
      <c r="H533" s="3">
        <f t="shared" ca="1" si="59"/>
        <v>0.33099041533546325</v>
      </c>
      <c r="I533" s="3">
        <f t="shared" ca="1" si="60"/>
        <v>75.800939431396785</v>
      </c>
      <c r="J533" s="3">
        <f t="shared" ca="1" si="61"/>
        <v>4.6597993920972645</v>
      </c>
      <c r="K533" s="3">
        <f t="shared" ca="1" si="62"/>
        <v>14.798011583011583</v>
      </c>
    </row>
    <row r="534" spans="3:11" x14ac:dyDescent="0.35">
      <c r="C534" t="str">
        <f t="shared" ca="1" si="56"/>
        <v>1Q2022</v>
      </c>
      <c r="D534" vm="1060">
        <f ca="1"/>
        <v>44715</v>
      </c>
      <c r="E534" vm="1061">
        <f ca="1"/>
        <v>18.72</v>
      </c>
      <c r="F534" s="3">
        <f t="shared" ca="1" si="57"/>
        <v>6.4616613418530353E-2</v>
      </c>
      <c r="G534" s="3">
        <f t="shared" ca="1" si="58"/>
        <v>1.0511182108626198</v>
      </c>
      <c r="H534" s="3">
        <f t="shared" ca="1" si="59"/>
        <v>0.33099041533546325</v>
      </c>
      <c r="I534" s="3">
        <f t="shared" ca="1" si="60"/>
        <v>72.427194066749067</v>
      </c>
      <c r="J534" s="3">
        <f t="shared" ca="1" si="61"/>
        <v>4.4524012158054704</v>
      </c>
      <c r="K534" s="3">
        <f t="shared" ca="1" si="62"/>
        <v>14.13938223938224</v>
      </c>
    </row>
    <row r="535" spans="3:11" x14ac:dyDescent="0.35">
      <c r="C535" t="str">
        <f t="shared" ca="1" si="56"/>
        <v>1Q2022</v>
      </c>
      <c r="D535" vm="1062">
        <f ca="1"/>
        <v>44718</v>
      </c>
      <c r="E535" vm="1063">
        <f ca="1"/>
        <v>18.786000000000001</v>
      </c>
      <c r="F535" s="3">
        <f t="shared" ca="1" si="57"/>
        <v>6.4616613418530353E-2</v>
      </c>
      <c r="G535" s="3">
        <f t="shared" ca="1" si="58"/>
        <v>1.0511182108626198</v>
      </c>
      <c r="H535" s="3">
        <f t="shared" ca="1" si="59"/>
        <v>0.33099041533546325</v>
      </c>
      <c r="I535" s="3">
        <f t="shared" ca="1" si="60"/>
        <v>72.682546353522866</v>
      </c>
      <c r="J535" s="3">
        <f t="shared" ca="1" si="61"/>
        <v>4.4680987841945292</v>
      </c>
      <c r="K535" s="3">
        <f t="shared" ca="1" si="62"/>
        <v>14.189232625482626</v>
      </c>
    </row>
    <row r="536" spans="3:11" x14ac:dyDescent="0.35">
      <c r="C536" t="str">
        <f t="shared" ca="1" si="56"/>
        <v>1Q2022</v>
      </c>
      <c r="D536" vm="1064">
        <f ca="1"/>
        <v>44719</v>
      </c>
      <c r="E536" vm="1065">
        <f ca="1"/>
        <v>18.925999999999998</v>
      </c>
      <c r="F536" s="3">
        <f t="shared" ca="1" si="57"/>
        <v>6.4616613418530353E-2</v>
      </c>
      <c r="G536" s="3">
        <f t="shared" ca="1" si="58"/>
        <v>1.0511182108626198</v>
      </c>
      <c r="H536" s="3">
        <f t="shared" ca="1" si="59"/>
        <v>0.33099041533546325</v>
      </c>
      <c r="I536" s="3">
        <f t="shared" ca="1" si="60"/>
        <v>73.224202719406662</v>
      </c>
      <c r="J536" s="3">
        <f t="shared" ca="1" si="61"/>
        <v>4.5013966565349541</v>
      </c>
      <c r="K536" s="3">
        <f t="shared" ca="1" si="62"/>
        <v>14.294975868725867</v>
      </c>
    </row>
    <row r="537" spans="3:11" x14ac:dyDescent="0.35">
      <c r="C537" t="str">
        <f t="shared" ca="1" si="56"/>
        <v>1Q2022</v>
      </c>
      <c r="D537" vm="1066">
        <f ca="1"/>
        <v>44720</v>
      </c>
      <c r="E537" vm="1067">
        <f ca="1"/>
        <v>18.648</v>
      </c>
      <c r="F537" s="3">
        <f t="shared" ca="1" si="57"/>
        <v>6.4616613418530353E-2</v>
      </c>
      <c r="G537" s="3">
        <f t="shared" ca="1" si="58"/>
        <v>1.0511182108626198</v>
      </c>
      <c r="H537" s="3">
        <f t="shared" ca="1" si="59"/>
        <v>0.33099041533546325</v>
      </c>
      <c r="I537" s="3">
        <f t="shared" ca="1" si="60"/>
        <v>72.148627935723113</v>
      </c>
      <c r="J537" s="3">
        <f t="shared" ca="1" si="61"/>
        <v>4.4352765957446811</v>
      </c>
      <c r="K537" s="3">
        <f t="shared" ca="1" si="62"/>
        <v>14.085000000000001</v>
      </c>
    </row>
    <row r="538" spans="3:11" x14ac:dyDescent="0.35">
      <c r="C538" t="str">
        <f t="shared" ca="1" si="56"/>
        <v>1Q2022</v>
      </c>
      <c r="D538" vm="1068">
        <f ca="1"/>
        <v>44721</v>
      </c>
      <c r="E538" vm="1069">
        <f ca="1"/>
        <v>18.047999999999998</v>
      </c>
      <c r="F538" s="3">
        <f t="shared" ca="1" si="57"/>
        <v>6.4616613418530353E-2</v>
      </c>
      <c r="G538" s="3">
        <f t="shared" ca="1" si="58"/>
        <v>1.0511182108626198</v>
      </c>
      <c r="H538" s="3">
        <f t="shared" ca="1" si="59"/>
        <v>0.33099041533546325</v>
      </c>
      <c r="I538" s="3">
        <f t="shared" ca="1" si="60"/>
        <v>69.82724351050679</v>
      </c>
      <c r="J538" s="3">
        <f t="shared" ca="1" si="61"/>
        <v>4.2925714285714278</v>
      </c>
      <c r="K538" s="3">
        <f t="shared" ca="1" si="62"/>
        <v>13.63181467181467</v>
      </c>
    </row>
    <row r="539" spans="3:11" x14ac:dyDescent="0.35">
      <c r="C539" t="str">
        <f t="shared" ca="1" si="56"/>
        <v>1Q2022</v>
      </c>
      <c r="D539" vm="1070">
        <f ca="1"/>
        <v>44722</v>
      </c>
      <c r="E539" vm="1071">
        <f ca="1"/>
        <v>16.974</v>
      </c>
      <c r="F539" s="3">
        <f t="shared" ca="1" si="57"/>
        <v>6.4616613418530353E-2</v>
      </c>
      <c r="G539" s="3">
        <f t="shared" ca="1" si="58"/>
        <v>1.0511182108626198</v>
      </c>
      <c r="H539" s="3">
        <f t="shared" ca="1" si="59"/>
        <v>0.33099041533546325</v>
      </c>
      <c r="I539" s="3">
        <f t="shared" ca="1" si="60"/>
        <v>65.671965389369589</v>
      </c>
      <c r="J539" s="3">
        <f t="shared" ca="1" si="61"/>
        <v>4.0371291793313073</v>
      </c>
      <c r="K539" s="3">
        <f t="shared" ca="1" si="62"/>
        <v>12.820612934362934</v>
      </c>
    </row>
    <row r="540" spans="3:11" x14ac:dyDescent="0.35">
      <c r="C540" t="str">
        <f t="shared" ca="1" si="56"/>
        <v>1Q2022</v>
      </c>
      <c r="D540" vm="1072">
        <f ca="1"/>
        <v>44725</v>
      </c>
      <c r="E540" vm="1073">
        <f ca="1"/>
        <v>15.647</v>
      </c>
      <c r="F540" s="3">
        <f t="shared" ca="1" si="57"/>
        <v>6.4616613418530353E-2</v>
      </c>
      <c r="G540" s="3">
        <f t="shared" ca="1" si="58"/>
        <v>1.0511182108626198</v>
      </c>
      <c r="H540" s="3">
        <f t="shared" ca="1" si="59"/>
        <v>0.33099041533546325</v>
      </c>
      <c r="I540" s="3">
        <f t="shared" ca="1" si="60"/>
        <v>60.537836835599506</v>
      </c>
      <c r="J540" s="3">
        <f t="shared" ca="1" si="61"/>
        <v>3.7215129179331305</v>
      </c>
      <c r="K540" s="3">
        <f t="shared" ca="1" si="62"/>
        <v>11.818318050193051</v>
      </c>
    </row>
    <row r="541" spans="3:11" x14ac:dyDescent="0.35">
      <c r="C541" t="str">
        <f t="shared" ca="1" si="56"/>
        <v>1Q2022</v>
      </c>
      <c r="D541" vm="1074">
        <f ca="1"/>
        <v>44726</v>
      </c>
      <c r="E541" vm="1075">
        <f ca="1"/>
        <v>15.836</v>
      </c>
      <c r="F541" s="3">
        <f t="shared" ca="1" si="57"/>
        <v>6.4616613418530353E-2</v>
      </c>
      <c r="G541" s="3">
        <f t="shared" ca="1" si="58"/>
        <v>1.0511182108626198</v>
      </c>
      <c r="H541" s="3">
        <f t="shared" ca="1" si="59"/>
        <v>0.33099041533546325</v>
      </c>
      <c r="I541" s="3">
        <f t="shared" ca="1" si="60"/>
        <v>61.269072929542645</v>
      </c>
      <c r="J541" s="3">
        <f t="shared" ca="1" si="61"/>
        <v>3.7664650455927053</v>
      </c>
      <c r="K541" s="3">
        <f t="shared" ca="1" si="62"/>
        <v>11.961071428571429</v>
      </c>
    </row>
    <row r="542" spans="3:11" x14ac:dyDescent="0.35">
      <c r="C542" t="str">
        <f t="shared" ca="1" si="56"/>
        <v>1Q2022</v>
      </c>
      <c r="D542" vm="1076">
        <f ca="1"/>
        <v>44727</v>
      </c>
      <c r="E542" vm="1077">
        <f ca="1"/>
        <v>16.527000000000001</v>
      </c>
      <c r="F542" s="3">
        <f t="shared" ca="1" si="57"/>
        <v>6.4616613418530353E-2</v>
      </c>
      <c r="G542" s="3">
        <f t="shared" ca="1" si="58"/>
        <v>1.0511182108626198</v>
      </c>
      <c r="H542" s="3">
        <f t="shared" ca="1" si="59"/>
        <v>0.33099041533546325</v>
      </c>
      <c r="I542" s="3">
        <f t="shared" ca="1" si="60"/>
        <v>63.942533992583442</v>
      </c>
      <c r="J542" s="3">
        <f t="shared" ca="1" si="61"/>
        <v>3.9308138297872341</v>
      </c>
      <c r="K542" s="3">
        <f t="shared" ca="1" si="62"/>
        <v>12.482989864864866</v>
      </c>
    </row>
    <row r="543" spans="3:11" x14ac:dyDescent="0.35">
      <c r="C543" t="str">
        <f t="shared" ca="1" si="56"/>
        <v>1Q2022</v>
      </c>
      <c r="D543" vm="1078">
        <f ca="1"/>
        <v>44728</v>
      </c>
      <c r="E543" vm="1079">
        <f ca="1"/>
        <v>15.601000000000001</v>
      </c>
      <c r="F543" s="3">
        <f t="shared" ca="1" si="57"/>
        <v>6.4616613418530353E-2</v>
      </c>
      <c r="G543" s="3">
        <f t="shared" ca="1" si="58"/>
        <v>1.0511182108626198</v>
      </c>
      <c r="H543" s="3">
        <f t="shared" ca="1" si="59"/>
        <v>0.33099041533546325</v>
      </c>
      <c r="I543" s="3">
        <f t="shared" ca="1" si="60"/>
        <v>60.359864029666255</v>
      </c>
      <c r="J543" s="3">
        <f t="shared" ca="1" si="61"/>
        <v>3.7105721884498482</v>
      </c>
      <c r="K543" s="3">
        <f t="shared" ca="1" si="62"/>
        <v>11.783573841698843</v>
      </c>
    </row>
    <row r="544" spans="3:11" x14ac:dyDescent="0.35">
      <c r="C544" t="str">
        <f t="shared" ca="1" si="56"/>
        <v>1Q2022</v>
      </c>
      <c r="D544" vm="1080">
        <f ca="1"/>
        <v>44729</v>
      </c>
      <c r="E544" vm="1081">
        <f ca="1"/>
        <v>15.88</v>
      </c>
      <c r="F544" s="3">
        <f t="shared" ca="1" si="57"/>
        <v>6.4616613418530353E-2</v>
      </c>
      <c r="G544" s="3">
        <f t="shared" ca="1" si="58"/>
        <v>1.0511182108626198</v>
      </c>
      <c r="H544" s="3">
        <f t="shared" ca="1" si="59"/>
        <v>0.33099041533546325</v>
      </c>
      <c r="I544" s="3">
        <f t="shared" ca="1" si="60"/>
        <v>61.439307787391847</v>
      </c>
      <c r="J544" s="3">
        <f t="shared" ca="1" si="61"/>
        <v>3.7769300911854105</v>
      </c>
      <c r="K544" s="3">
        <f t="shared" ca="1" si="62"/>
        <v>11.99430501930502</v>
      </c>
    </row>
    <row r="545" spans="3:11" x14ac:dyDescent="0.35">
      <c r="C545" t="str">
        <f t="shared" ca="1" si="56"/>
        <v>1Q2022</v>
      </c>
      <c r="D545" vm="1082">
        <f ca="1"/>
        <v>44733</v>
      </c>
      <c r="E545" vm="1083">
        <f ca="1"/>
        <v>16.565999999999999</v>
      </c>
      <c r="F545" s="3">
        <f t="shared" ca="1" si="57"/>
        <v>6.4616613418530353E-2</v>
      </c>
      <c r="G545" s="3">
        <f t="shared" ca="1" si="58"/>
        <v>1.0511182108626198</v>
      </c>
      <c r="H545" s="3">
        <f t="shared" ca="1" si="59"/>
        <v>0.33099041533546325</v>
      </c>
      <c r="I545" s="3">
        <f t="shared" ca="1" si="60"/>
        <v>64.093423980222497</v>
      </c>
      <c r="J545" s="3">
        <f t="shared" ca="1" si="61"/>
        <v>3.9400896656534954</v>
      </c>
      <c r="K545" s="3">
        <f t="shared" ca="1" si="62"/>
        <v>12.512446911196911</v>
      </c>
    </row>
    <row r="546" spans="3:11" x14ac:dyDescent="0.35">
      <c r="C546" t="str">
        <f t="shared" ca="1" si="56"/>
        <v>1Q2022</v>
      </c>
      <c r="D546" vm="1084">
        <f ca="1"/>
        <v>44734</v>
      </c>
      <c r="E546" vm="1085">
        <f ca="1"/>
        <v>16.36</v>
      </c>
      <c r="F546" s="3">
        <f t="shared" ca="1" si="57"/>
        <v>6.4616613418530353E-2</v>
      </c>
      <c r="G546" s="3">
        <f t="shared" ca="1" si="58"/>
        <v>1.0511182108626198</v>
      </c>
      <c r="H546" s="3">
        <f t="shared" ca="1" si="59"/>
        <v>0.33099041533546325</v>
      </c>
      <c r="I546" s="3">
        <f t="shared" ca="1" si="60"/>
        <v>63.296415327564894</v>
      </c>
      <c r="J546" s="3">
        <f t="shared" ca="1" si="61"/>
        <v>3.8910942249240121</v>
      </c>
      <c r="K546" s="3">
        <f t="shared" ca="1" si="62"/>
        <v>12.356853281853281</v>
      </c>
    </row>
    <row r="547" spans="3:11" x14ac:dyDescent="0.35">
      <c r="C547" t="str">
        <f t="shared" ca="1" si="56"/>
        <v>1Q2022</v>
      </c>
      <c r="D547" vm="1086">
        <f ca="1"/>
        <v>44735</v>
      </c>
      <c r="E547" vm="1087">
        <f ca="1"/>
        <v>16.225000000000001</v>
      </c>
      <c r="F547" s="3">
        <f t="shared" ca="1" si="57"/>
        <v>6.4616613418530353E-2</v>
      </c>
      <c r="G547" s="3">
        <f t="shared" ca="1" si="58"/>
        <v>1.0511182108626198</v>
      </c>
      <c r="H547" s="3">
        <f t="shared" ca="1" si="59"/>
        <v>0.33099041533546325</v>
      </c>
      <c r="I547" s="3">
        <f t="shared" ca="1" si="60"/>
        <v>62.774103831891232</v>
      </c>
      <c r="J547" s="3">
        <f t="shared" ca="1" si="61"/>
        <v>3.8589855623100306</v>
      </c>
      <c r="K547" s="3">
        <f t="shared" ca="1" si="62"/>
        <v>12.254886583011585</v>
      </c>
    </row>
    <row r="548" spans="3:11" x14ac:dyDescent="0.35">
      <c r="C548" t="str">
        <f t="shared" ca="1" si="56"/>
        <v>1Q2022</v>
      </c>
      <c r="D548" vm="1088">
        <f ca="1"/>
        <v>44736</v>
      </c>
      <c r="E548" vm="1089">
        <f ca="1"/>
        <v>17.126000000000001</v>
      </c>
      <c r="F548" s="3">
        <f t="shared" ca="1" si="57"/>
        <v>6.4616613418530353E-2</v>
      </c>
      <c r="G548" s="3">
        <f t="shared" ca="1" si="58"/>
        <v>1.0511182108626198</v>
      </c>
      <c r="H548" s="3">
        <f t="shared" ca="1" si="59"/>
        <v>0.33099041533546325</v>
      </c>
      <c r="I548" s="3">
        <f t="shared" ca="1" si="60"/>
        <v>66.260049443757723</v>
      </c>
      <c r="J548" s="3">
        <f t="shared" ca="1" si="61"/>
        <v>4.0732811550151977</v>
      </c>
      <c r="K548" s="3">
        <f t="shared" ca="1" si="62"/>
        <v>12.935419884169885</v>
      </c>
    </row>
    <row r="549" spans="3:11" x14ac:dyDescent="0.35">
      <c r="C549" t="str">
        <f t="shared" ca="1" si="56"/>
        <v>1Q2022</v>
      </c>
      <c r="D549" vm="1090">
        <f ca="1"/>
        <v>44739</v>
      </c>
      <c r="E549" vm="1091">
        <f ca="1"/>
        <v>16.869</v>
      </c>
      <c r="F549" s="3">
        <f t="shared" ca="1" si="57"/>
        <v>6.4616613418530353E-2</v>
      </c>
      <c r="G549" s="3">
        <f t="shared" ca="1" si="58"/>
        <v>1.0511182108626198</v>
      </c>
      <c r="H549" s="3">
        <f t="shared" ca="1" si="59"/>
        <v>0.33099041533546325</v>
      </c>
      <c r="I549" s="3">
        <f t="shared" ca="1" si="60"/>
        <v>65.265723114956728</v>
      </c>
      <c r="J549" s="3">
        <f t="shared" ca="1" si="61"/>
        <v>4.0121557750759882</v>
      </c>
      <c r="K549" s="3">
        <f t="shared" ca="1" si="62"/>
        <v>12.741305501930501</v>
      </c>
    </row>
    <row r="550" spans="3:11" x14ac:dyDescent="0.35">
      <c r="C550" t="str">
        <f t="shared" ca="1" si="56"/>
        <v>1Q2022</v>
      </c>
      <c r="D550" vm="1092">
        <f ca="1"/>
        <v>44740</v>
      </c>
      <c r="E550" vm="1093">
        <f ca="1"/>
        <v>15.981999999999999</v>
      </c>
      <c r="F550" s="3">
        <f t="shared" ca="1" si="57"/>
        <v>6.4616613418530353E-2</v>
      </c>
      <c r="G550" s="3">
        <f t="shared" ca="1" si="58"/>
        <v>1.0511182108626198</v>
      </c>
      <c r="H550" s="3">
        <f t="shared" ca="1" si="59"/>
        <v>0.33099041533546325</v>
      </c>
      <c r="I550" s="3">
        <f t="shared" ca="1" si="60"/>
        <v>61.83394313967861</v>
      </c>
      <c r="J550" s="3">
        <f t="shared" ca="1" si="61"/>
        <v>3.801189969604863</v>
      </c>
      <c r="K550" s="3">
        <f t="shared" ca="1" si="62"/>
        <v>12.071346525096525</v>
      </c>
    </row>
    <row r="551" spans="3:11" x14ac:dyDescent="0.35">
      <c r="C551" t="str">
        <f t="shared" ca="1" si="56"/>
        <v>1Q2022</v>
      </c>
      <c r="D551" vm="1094">
        <f ca="1"/>
        <v>44741</v>
      </c>
      <c r="E551" vm="1095">
        <f ca="1"/>
        <v>15.542</v>
      </c>
      <c r="F551" s="3">
        <f t="shared" ca="1" si="57"/>
        <v>6.4616613418530353E-2</v>
      </c>
      <c r="G551" s="3">
        <f t="shared" ca="1" si="58"/>
        <v>1.0511182108626198</v>
      </c>
      <c r="H551" s="3">
        <f t="shared" ca="1" si="59"/>
        <v>0.33099041533546325</v>
      </c>
      <c r="I551" s="3">
        <f t="shared" ca="1" si="60"/>
        <v>60.131594561186645</v>
      </c>
      <c r="J551" s="3">
        <f t="shared" ca="1" si="61"/>
        <v>3.6965395136778114</v>
      </c>
      <c r="K551" s="3">
        <f t="shared" ca="1" si="62"/>
        <v>11.739010617760618</v>
      </c>
    </row>
    <row r="552" spans="3:11" x14ac:dyDescent="0.35">
      <c r="C552" t="str">
        <f t="shared" ca="1" si="56"/>
        <v>1Q2022</v>
      </c>
      <c r="D552" vm="1096">
        <f ca="1"/>
        <v>44742</v>
      </c>
      <c r="E552" vm="1097">
        <f ca="1"/>
        <v>15.159000000000001</v>
      </c>
      <c r="F552" s="3">
        <f t="shared" ca="1" si="57"/>
        <v>6.4616613418530353E-2</v>
      </c>
      <c r="G552" s="3">
        <f t="shared" ca="1" si="58"/>
        <v>1.0511182108626198</v>
      </c>
      <c r="H552" s="3">
        <f t="shared" ca="1" si="59"/>
        <v>0.33099041533546325</v>
      </c>
      <c r="I552" s="3">
        <f t="shared" ca="1" si="60"/>
        <v>58.649777503090235</v>
      </c>
      <c r="J552" s="3">
        <f t="shared" ca="1" si="61"/>
        <v>3.6054460486322188</v>
      </c>
      <c r="K552" s="3">
        <f t="shared" ca="1" si="62"/>
        <v>11.449727316602317</v>
      </c>
    </row>
    <row r="553" spans="3:11" x14ac:dyDescent="0.35">
      <c r="C553" t="str">
        <f t="shared" ca="1" si="56"/>
        <v>1Q2022</v>
      </c>
      <c r="D553" vm="1098">
        <f ca="1"/>
        <v>44743</v>
      </c>
      <c r="E553" vm="519">
        <f ca="1"/>
        <v>14.523</v>
      </c>
      <c r="F553" s="3">
        <f t="shared" ca="1" si="57"/>
        <v>6.4616613418530353E-2</v>
      </c>
      <c r="G553" s="3">
        <f t="shared" ca="1" si="58"/>
        <v>1.0511182108626198</v>
      </c>
      <c r="H553" s="3">
        <f t="shared" ca="1" si="59"/>
        <v>0.33099041533546325</v>
      </c>
      <c r="I553" s="3">
        <f t="shared" ca="1" si="60"/>
        <v>56.189110012360935</v>
      </c>
      <c r="J553" s="3">
        <f t="shared" ca="1" si="61"/>
        <v>3.4541785714285713</v>
      </c>
      <c r="K553" s="3">
        <f t="shared" ca="1" si="62"/>
        <v>10.969350868725869</v>
      </c>
    </row>
    <row r="554" spans="3:11" x14ac:dyDescent="0.35">
      <c r="C554" t="str">
        <f t="shared" ca="1" si="56"/>
        <v>1Q2022</v>
      </c>
      <c r="D554" vm="1099">
        <f ca="1"/>
        <v>44747</v>
      </c>
      <c r="E554" vm="1100">
        <f ca="1"/>
        <v>14.964</v>
      </c>
      <c r="F554" s="3">
        <f t="shared" ca="1" si="57"/>
        <v>6.4616613418530353E-2</v>
      </c>
      <c r="G554" s="3">
        <f t="shared" ca="1" si="58"/>
        <v>1.0511182108626198</v>
      </c>
      <c r="H554" s="3">
        <f t="shared" ca="1" si="59"/>
        <v>0.33099041533546325</v>
      </c>
      <c r="I554" s="3">
        <f t="shared" ca="1" si="60"/>
        <v>57.895327564894934</v>
      </c>
      <c r="J554" s="3">
        <f t="shared" ca="1" si="61"/>
        <v>3.5590668693009118</v>
      </c>
      <c r="K554" s="3">
        <f t="shared" ca="1" si="62"/>
        <v>11.302442084942086</v>
      </c>
    </row>
    <row r="555" spans="3:11" x14ac:dyDescent="0.35">
      <c r="C555" t="str">
        <f t="shared" ca="1" si="56"/>
        <v>1Q2022</v>
      </c>
      <c r="D555" vm="1101">
        <f ca="1"/>
        <v>44748</v>
      </c>
      <c r="E555" vm="1102">
        <f ca="1"/>
        <v>15.13</v>
      </c>
      <c r="F555" s="3">
        <f t="shared" ca="1" si="57"/>
        <v>6.4616613418530353E-2</v>
      </c>
      <c r="G555" s="3">
        <f t="shared" ca="1" si="58"/>
        <v>1.0511182108626198</v>
      </c>
      <c r="H555" s="3">
        <f t="shared" ca="1" si="59"/>
        <v>0.33099041533546325</v>
      </c>
      <c r="I555" s="3">
        <f t="shared" ca="1" si="60"/>
        <v>58.537577255871447</v>
      </c>
      <c r="J555" s="3">
        <f t="shared" ca="1" si="61"/>
        <v>3.5985486322188454</v>
      </c>
      <c r="K555" s="3">
        <f t="shared" ca="1" si="62"/>
        <v>11.42782335907336</v>
      </c>
    </row>
    <row r="556" spans="3:11" x14ac:dyDescent="0.35">
      <c r="C556" t="str">
        <f t="shared" ca="1" si="56"/>
        <v>1Q2022</v>
      </c>
      <c r="D556" vm="1103">
        <f ca="1"/>
        <v>44749</v>
      </c>
      <c r="E556" vm="1104">
        <f ca="1"/>
        <v>15.858000000000001</v>
      </c>
      <c r="F556" s="3">
        <f t="shared" ca="1" si="57"/>
        <v>6.4616613418530353E-2</v>
      </c>
      <c r="G556" s="3">
        <f t="shared" ca="1" si="58"/>
        <v>1.0511182108626198</v>
      </c>
      <c r="H556" s="3">
        <f t="shared" ca="1" si="59"/>
        <v>0.33099041533546325</v>
      </c>
      <c r="I556" s="3">
        <f t="shared" ca="1" si="60"/>
        <v>61.354190358467243</v>
      </c>
      <c r="J556" s="3">
        <f t="shared" ca="1" si="61"/>
        <v>3.7716975683890577</v>
      </c>
      <c r="K556" s="3">
        <f t="shared" ca="1" si="62"/>
        <v>11.977688223938225</v>
      </c>
    </row>
    <row r="557" spans="3:11" x14ac:dyDescent="0.35">
      <c r="C557" t="str">
        <f t="shared" ca="1" si="56"/>
        <v>1Q2022</v>
      </c>
      <c r="D557" vm="1105">
        <f ca="1"/>
        <v>44750</v>
      </c>
      <c r="E557" vm="1106">
        <f ca="1"/>
        <v>15.837999999999999</v>
      </c>
      <c r="F557" s="3">
        <f t="shared" ca="1" si="57"/>
        <v>6.4616613418530353E-2</v>
      </c>
      <c r="G557" s="3">
        <f t="shared" ca="1" si="58"/>
        <v>1.0511182108626198</v>
      </c>
      <c r="H557" s="3">
        <f t="shared" ca="1" si="59"/>
        <v>0.33099041533546325</v>
      </c>
      <c r="I557" s="3">
        <f t="shared" ca="1" si="60"/>
        <v>61.276810877626694</v>
      </c>
      <c r="J557" s="3">
        <f t="shared" ca="1" si="61"/>
        <v>3.7669407294832826</v>
      </c>
      <c r="K557" s="3">
        <f t="shared" ca="1" si="62"/>
        <v>11.962582046332045</v>
      </c>
    </row>
    <row r="558" spans="3:11" x14ac:dyDescent="0.35">
      <c r="C558" t="str">
        <f t="shared" ca="1" si="56"/>
        <v>1Q2022</v>
      </c>
      <c r="D558" vm="1107">
        <f ca="1"/>
        <v>44753</v>
      </c>
      <c r="E558" vm="1108">
        <f ca="1"/>
        <v>15.151999999999999</v>
      </c>
      <c r="F558" s="3">
        <f t="shared" ca="1" si="57"/>
        <v>6.4616613418530353E-2</v>
      </c>
      <c r="G558" s="3">
        <f t="shared" ca="1" si="58"/>
        <v>1.0511182108626198</v>
      </c>
      <c r="H558" s="3">
        <f t="shared" ca="1" si="59"/>
        <v>0.33099041533546325</v>
      </c>
      <c r="I558" s="3">
        <f t="shared" ca="1" si="60"/>
        <v>58.622694684796038</v>
      </c>
      <c r="J558" s="3">
        <f t="shared" ca="1" si="61"/>
        <v>3.6037811550151972</v>
      </c>
      <c r="K558" s="3">
        <f t="shared" ca="1" si="62"/>
        <v>11.444440154440153</v>
      </c>
    </row>
    <row r="559" spans="3:11" x14ac:dyDescent="0.35">
      <c r="C559" t="str">
        <f t="shared" ca="1" si="56"/>
        <v>1Q2022</v>
      </c>
      <c r="D559" vm="1109">
        <f ca="1"/>
        <v>44754</v>
      </c>
      <c r="E559" vm="1110">
        <f ca="1"/>
        <v>15.082000000000001</v>
      </c>
      <c r="F559" s="3">
        <f t="shared" ca="1" si="57"/>
        <v>6.4616613418530353E-2</v>
      </c>
      <c r="G559" s="3">
        <f t="shared" ca="1" si="58"/>
        <v>1.0511182108626198</v>
      </c>
      <c r="H559" s="3">
        <f t="shared" ca="1" si="59"/>
        <v>0.33099041533546325</v>
      </c>
      <c r="I559" s="3">
        <f t="shared" ca="1" si="60"/>
        <v>58.35186650185414</v>
      </c>
      <c r="J559" s="3">
        <f t="shared" ca="1" si="61"/>
        <v>3.5871322188449848</v>
      </c>
      <c r="K559" s="3">
        <f t="shared" ca="1" si="62"/>
        <v>11.391568532818534</v>
      </c>
    </row>
    <row r="560" spans="3:11" x14ac:dyDescent="0.35">
      <c r="C560" t="str">
        <f t="shared" ca="1" si="56"/>
        <v>1Q2022</v>
      </c>
      <c r="D560" vm="1111">
        <f ca="1"/>
        <v>44755</v>
      </c>
      <c r="E560" vm="1112">
        <f ca="1"/>
        <v>15.164</v>
      </c>
      <c r="F560" s="3">
        <f t="shared" ca="1" si="57"/>
        <v>6.4616613418530353E-2</v>
      </c>
      <c r="G560" s="3">
        <f t="shared" ca="1" si="58"/>
        <v>1.0511182108626198</v>
      </c>
      <c r="H560" s="3">
        <f t="shared" ca="1" si="59"/>
        <v>0.33099041533546325</v>
      </c>
      <c r="I560" s="3">
        <f t="shared" ca="1" si="60"/>
        <v>58.669122373300368</v>
      </c>
      <c r="J560" s="3">
        <f t="shared" ca="1" si="61"/>
        <v>3.6066352583586627</v>
      </c>
      <c r="K560" s="3">
        <f t="shared" ca="1" si="62"/>
        <v>11.453503861003862</v>
      </c>
    </row>
    <row r="561" spans="3:11" x14ac:dyDescent="0.35">
      <c r="C561" t="str">
        <f t="shared" ca="1" si="56"/>
        <v>1Q2022</v>
      </c>
      <c r="D561" vm="1113">
        <f ca="1"/>
        <v>44756</v>
      </c>
      <c r="E561" vm="1114">
        <f ca="1"/>
        <v>15.372</v>
      </c>
      <c r="F561" s="3">
        <f t="shared" ca="1" si="57"/>
        <v>6.4616613418530353E-2</v>
      </c>
      <c r="G561" s="3">
        <f t="shared" ca="1" si="58"/>
        <v>1.0511182108626198</v>
      </c>
      <c r="H561" s="3">
        <f t="shared" ca="1" si="59"/>
        <v>0.33099041533546325</v>
      </c>
      <c r="I561" s="3">
        <f t="shared" ca="1" si="60"/>
        <v>59.473868974042027</v>
      </c>
      <c r="J561" s="3">
        <f t="shared" ca="1" si="61"/>
        <v>3.6561063829787233</v>
      </c>
      <c r="K561" s="3">
        <f t="shared" ca="1" si="62"/>
        <v>11.610608108108108</v>
      </c>
    </row>
    <row r="562" spans="3:11" x14ac:dyDescent="0.35">
      <c r="C562" t="str">
        <f t="shared" ca="1" si="56"/>
        <v>1Q2022</v>
      </c>
      <c r="D562" vm="1115">
        <f ca="1"/>
        <v>44757</v>
      </c>
      <c r="E562" vm="1116">
        <f ca="1"/>
        <v>15.762</v>
      </c>
      <c r="F562" s="3">
        <f t="shared" ca="1" si="57"/>
        <v>6.4616613418530353E-2</v>
      </c>
      <c r="G562" s="3">
        <f t="shared" ca="1" si="58"/>
        <v>1.0511182108626198</v>
      </c>
      <c r="H562" s="3">
        <f t="shared" ca="1" si="59"/>
        <v>0.33099041533546325</v>
      </c>
      <c r="I562" s="3">
        <f t="shared" ca="1" si="60"/>
        <v>60.982768850432635</v>
      </c>
      <c r="J562" s="3">
        <f t="shared" ca="1" si="61"/>
        <v>3.7488647416413374</v>
      </c>
      <c r="K562" s="3">
        <f t="shared" ca="1" si="62"/>
        <v>11.905178571428571</v>
      </c>
    </row>
    <row r="563" spans="3:11" x14ac:dyDescent="0.35">
      <c r="C563" t="str">
        <f t="shared" ca="1" si="56"/>
        <v>1Q2022</v>
      </c>
      <c r="D563" vm="1117">
        <f ca="1"/>
        <v>44760</v>
      </c>
      <c r="E563" vm="1118">
        <f ca="1"/>
        <v>16.100999999999999</v>
      </c>
      <c r="F563" s="3">
        <f t="shared" ca="1" si="57"/>
        <v>6.4616613418530353E-2</v>
      </c>
      <c r="G563" s="3">
        <f t="shared" ca="1" si="58"/>
        <v>1.0511182108626198</v>
      </c>
      <c r="H563" s="3">
        <f t="shared" ca="1" si="59"/>
        <v>0.33099041533546325</v>
      </c>
      <c r="I563" s="3">
        <f t="shared" ca="1" si="60"/>
        <v>62.29435105067985</v>
      </c>
      <c r="J563" s="3">
        <f t="shared" ca="1" si="61"/>
        <v>3.8294931610942249</v>
      </c>
      <c r="K563" s="3">
        <f t="shared" ca="1" si="62"/>
        <v>12.161228281853282</v>
      </c>
    </row>
    <row r="564" spans="3:11" x14ac:dyDescent="0.35">
      <c r="C564" t="str">
        <f t="shared" ca="1" si="56"/>
        <v>1Q2022</v>
      </c>
      <c r="D564" vm="1119">
        <f ca="1"/>
        <v>44761</v>
      </c>
      <c r="E564" vm="1120">
        <f ca="1"/>
        <v>16.992000000000001</v>
      </c>
      <c r="F564" s="3">
        <f t="shared" ca="1" si="57"/>
        <v>6.4616613418530353E-2</v>
      </c>
      <c r="G564" s="3">
        <f t="shared" ca="1" si="58"/>
        <v>1.0511182108626198</v>
      </c>
      <c r="H564" s="3">
        <f t="shared" ca="1" si="59"/>
        <v>0.33099041533546325</v>
      </c>
      <c r="I564" s="3">
        <f t="shared" ca="1" si="60"/>
        <v>65.741606922126081</v>
      </c>
      <c r="J564" s="3">
        <f t="shared" ca="1" si="61"/>
        <v>4.0414103343465051</v>
      </c>
      <c r="K564" s="3">
        <f t="shared" ca="1" si="62"/>
        <v>12.834208494208495</v>
      </c>
    </row>
    <row r="565" spans="3:11" x14ac:dyDescent="0.35">
      <c r="C565" t="str">
        <f t="shared" ca="1" si="56"/>
        <v>1Q2022</v>
      </c>
      <c r="D565" vm="1121">
        <f ca="1"/>
        <v>44762</v>
      </c>
      <c r="E565" vm="1122">
        <f ca="1"/>
        <v>17.806999999999999</v>
      </c>
      <c r="F565" s="3">
        <f t="shared" ca="1" si="57"/>
        <v>6.4616613418530353E-2</v>
      </c>
      <c r="G565" s="3">
        <f t="shared" ca="1" si="58"/>
        <v>1.0511182108626198</v>
      </c>
      <c r="H565" s="3">
        <f t="shared" ca="1" si="59"/>
        <v>0.33099041533546325</v>
      </c>
      <c r="I565" s="3">
        <f t="shared" ca="1" si="60"/>
        <v>68.894820766378231</v>
      </c>
      <c r="J565" s="3">
        <f t="shared" ca="1" si="61"/>
        <v>4.2352515197568383</v>
      </c>
      <c r="K565" s="3">
        <f t="shared" ca="1" si="62"/>
        <v>13.449785231660231</v>
      </c>
    </row>
    <row r="566" spans="3:11" x14ac:dyDescent="0.35">
      <c r="C566" t="str">
        <f t="shared" ca="1" si="56"/>
        <v>1Q2022</v>
      </c>
      <c r="D566" vm="1123">
        <f ca="1"/>
        <v>44763</v>
      </c>
      <c r="E566" vm="1124">
        <f ca="1"/>
        <v>18.05</v>
      </c>
      <c r="F566" s="3">
        <f t="shared" ca="1" si="57"/>
        <v>6.4616613418530353E-2</v>
      </c>
      <c r="G566" s="3">
        <f t="shared" ca="1" si="58"/>
        <v>1.0511182108626198</v>
      </c>
      <c r="H566" s="3">
        <f t="shared" ca="1" si="59"/>
        <v>0.33099041533546325</v>
      </c>
      <c r="I566" s="3">
        <f t="shared" ca="1" si="60"/>
        <v>69.83498145859086</v>
      </c>
      <c r="J566" s="3">
        <f t="shared" ca="1" si="61"/>
        <v>4.2930471124620064</v>
      </c>
      <c r="K566" s="3">
        <f t="shared" ca="1" si="62"/>
        <v>13.633325289575291</v>
      </c>
    </row>
    <row r="567" spans="3:11" x14ac:dyDescent="0.35">
      <c r="C567" t="str">
        <f t="shared" ca="1" si="56"/>
        <v>1Q2022</v>
      </c>
      <c r="D567" vm="1125">
        <f ca="1"/>
        <v>44764</v>
      </c>
      <c r="E567" vm="1126">
        <f ca="1"/>
        <v>17.318999999999999</v>
      </c>
      <c r="F567" s="3">
        <f t="shared" ca="1" si="57"/>
        <v>6.4616613418530353E-2</v>
      </c>
      <c r="G567" s="3">
        <f t="shared" ca="1" si="58"/>
        <v>1.0511182108626198</v>
      </c>
      <c r="H567" s="3">
        <f t="shared" ca="1" si="59"/>
        <v>0.33099041533546325</v>
      </c>
      <c r="I567" s="3">
        <f t="shared" ca="1" si="60"/>
        <v>67.006761433868974</v>
      </c>
      <c r="J567" s="3">
        <f t="shared" ca="1" si="61"/>
        <v>4.1191846504559271</v>
      </c>
      <c r="K567" s="3">
        <f t="shared" ca="1" si="62"/>
        <v>13.081194498069499</v>
      </c>
    </row>
    <row r="568" spans="3:11" x14ac:dyDescent="0.35">
      <c r="C568" t="str">
        <f t="shared" ca="1" si="56"/>
        <v>1Q2022</v>
      </c>
      <c r="D568" vm="1127">
        <f ca="1"/>
        <v>44767</v>
      </c>
      <c r="E568" vm="1128">
        <f ca="1"/>
        <v>17.024000000000001</v>
      </c>
      <c r="F568" s="3">
        <f t="shared" ca="1" si="57"/>
        <v>6.4616613418530353E-2</v>
      </c>
      <c r="G568" s="3">
        <f t="shared" ca="1" si="58"/>
        <v>1.0511182108626198</v>
      </c>
      <c r="H568" s="3">
        <f t="shared" ca="1" si="59"/>
        <v>0.33099041533546325</v>
      </c>
      <c r="I568" s="3">
        <f t="shared" ca="1" si="60"/>
        <v>65.865414091470953</v>
      </c>
      <c r="J568" s="3">
        <f t="shared" ca="1" si="61"/>
        <v>4.0490212765957452</v>
      </c>
      <c r="K568" s="3">
        <f t="shared" ca="1" si="62"/>
        <v>12.858378378378379</v>
      </c>
    </row>
    <row r="569" spans="3:11" x14ac:dyDescent="0.35">
      <c r="C569" t="str">
        <f t="shared" ca="1" si="56"/>
        <v>1Q2022</v>
      </c>
      <c r="D569" vm="1129">
        <f ca="1"/>
        <v>44768</v>
      </c>
      <c r="E569" vm="1130">
        <f ca="1"/>
        <v>16.533000000000001</v>
      </c>
      <c r="F569" s="3">
        <f t="shared" ca="1" si="57"/>
        <v>6.4616613418530353E-2</v>
      </c>
      <c r="G569" s="3">
        <f t="shared" ca="1" si="58"/>
        <v>1.0511182108626198</v>
      </c>
      <c r="H569" s="3">
        <f t="shared" ca="1" si="59"/>
        <v>0.33099041533546325</v>
      </c>
      <c r="I569" s="3">
        <f t="shared" ca="1" si="60"/>
        <v>63.965747836835604</v>
      </c>
      <c r="J569" s="3">
        <f t="shared" ca="1" si="61"/>
        <v>3.9322408814589669</v>
      </c>
      <c r="K569" s="3">
        <f t="shared" ca="1" si="62"/>
        <v>12.48752171814672</v>
      </c>
    </row>
    <row r="570" spans="3:11" x14ac:dyDescent="0.35">
      <c r="C570" t="str">
        <f t="shared" ca="1" si="56"/>
        <v>1Q2022</v>
      </c>
      <c r="D570" vm="1131">
        <f ca="1"/>
        <v>44769</v>
      </c>
      <c r="E570" vm="1132">
        <f ca="1"/>
        <v>17.79</v>
      </c>
      <c r="F570" s="3">
        <f t="shared" ca="1" si="57"/>
        <v>6.4616613418530353E-2</v>
      </c>
      <c r="G570" s="3">
        <f t="shared" ca="1" si="58"/>
        <v>1.0511182108626198</v>
      </c>
      <c r="H570" s="3">
        <f t="shared" ca="1" si="59"/>
        <v>0.33099041533546325</v>
      </c>
      <c r="I570" s="3">
        <f t="shared" ca="1" si="60"/>
        <v>68.829048207663774</v>
      </c>
      <c r="J570" s="3">
        <f t="shared" ca="1" si="61"/>
        <v>4.2312082066869303</v>
      </c>
      <c r="K570" s="3">
        <f t="shared" ca="1" si="62"/>
        <v>13.43694498069498</v>
      </c>
    </row>
    <row r="571" spans="3:11" x14ac:dyDescent="0.35">
      <c r="C571" t="str">
        <f t="shared" ca="1" si="56"/>
        <v>1Q2022</v>
      </c>
      <c r="D571" vm="1133">
        <f ca="1"/>
        <v>44770</v>
      </c>
      <c r="E571" vm="1134">
        <f ca="1"/>
        <v>17.984000000000002</v>
      </c>
      <c r="F571" s="3">
        <f t="shared" ca="1" si="57"/>
        <v>6.4616613418530353E-2</v>
      </c>
      <c r="G571" s="3">
        <f t="shared" ca="1" si="58"/>
        <v>1.0511182108626198</v>
      </c>
      <c r="H571" s="3">
        <f t="shared" ca="1" si="59"/>
        <v>0.33099041533546325</v>
      </c>
      <c r="I571" s="3">
        <f t="shared" ca="1" si="60"/>
        <v>69.579629171817061</v>
      </c>
      <c r="J571" s="3">
        <f t="shared" ca="1" si="61"/>
        <v>4.2773495440729485</v>
      </c>
      <c r="K571" s="3">
        <f t="shared" ca="1" si="62"/>
        <v>13.583474903474904</v>
      </c>
    </row>
    <row r="572" spans="3:11" x14ac:dyDescent="0.35">
      <c r="C572" t="str">
        <f t="shared" ca="1" si="56"/>
        <v>1Q2022</v>
      </c>
      <c r="D572" vm="1135">
        <f ca="1"/>
        <v>44771</v>
      </c>
      <c r="E572" vm="1136">
        <f ca="1"/>
        <v>18.163</v>
      </c>
      <c r="F572" s="3">
        <f t="shared" ca="1" si="57"/>
        <v>6.4616613418530353E-2</v>
      </c>
      <c r="G572" s="3">
        <f t="shared" ca="1" si="58"/>
        <v>1.0511182108626198</v>
      </c>
      <c r="H572" s="3">
        <f t="shared" ca="1" si="59"/>
        <v>0.33099041533546325</v>
      </c>
      <c r="I572" s="3">
        <f t="shared" ca="1" si="60"/>
        <v>70.272175525339932</v>
      </c>
      <c r="J572" s="3">
        <f t="shared" ca="1" si="61"/>
        <v>4.3199232522796356</v>
      </c>
      <c r="K572" s="3">
        <f t="shared" ca="1" si="62"/>
        <v>13.718675193050194</v>
      </c>
    </row>
    <row r="573" spans="3:11" x14ac:dyDescent="0.35">
      <c r="C573" t="str">
        <f t="shared" ca="1" si="56"/>
        <v>2Q2022</v>
      </c>
      <c r="D573" vm="1137">
        <f ca="1"/>
        <v>44774</v>
      </c>
      <c r="E573" vm="1138">
        <f ca="1"/>
        <v>18.440999999999999</v>
      </c>
      <c r="F573" s="3">
        <f t="shared" ca="1" si="57"/>
        <v>2.635596625150663E-2</v>
      </c>
      <c r="G573" s="3">
        <f t="shared" ca="1" si="58"/>
        <v>0.95821615106468461</v>
      </c>
      <c r="H573" s="3">
        <f t="shared" ca="1" si="59"/>
        <v>0.26934511852149456</v>
      </c>
      <c r="I573" s="3">
        <f t="shared" ca="1" si="60"/>
        <v>174.92244283536584</v>
      </c>
      <c r="J573" s="3">
        <f t="shared" ca="1" si="61"/>
        <v>4.8112839622641506</v>
      </c>
      <c r="K573" s="3">
        <f t="shared" ca="1" si="62"/>
        <v>17.116515886038187</v>
      </c>
    </row>
    <row r="574" spans="3:11" x14ac:dyDescent="0.35">
      <c r="C574" t="str">
        <f t="shared" ca="1" si="56"/>
        <v>2Q2022</v>
      </c>
      <c r="D574" vm="1139">
        <f ca="1"/>
        <v>44775</v>
      </c>
      <c r="E574" vm="1140">
        <f ca="1"/>
        <v>18.526</v>
      </c>
      <c r="F574" s="3">
        <f t="shared" ca="1" si="57"/>
        <v>2.635596625150663E-2</v>
      </c>
      <c r="G574" s="3">
        <f t="shared" ca="1" si="58"/>
        <v>0.95821615106468461</v>
      </c>
      <c r="H574" s="3">
        <f t="shared" ca="1" si="59"/>
        <v>0.26934511852149456</v>
      </c>
      <c r="I574" s="3">
        <f t="shared" ca="1" si="60"/>
        <v>175.72871189024389</v>
      </c>
      <c r="J574" s="3">
        <f t="shared" ca="1" si="61"/>
        <v>4.8334605870020964</v>
      </c>
      <c r="K574" s="3">
        <f t="shared" ca="1" si="62"/>
        <v>17.19541094868735</v>
      </c>
    </row>
    <row r="575" spans="3:11" x14ac:dyDescent="0.35">
      <c r="C575" t="str">
        <f t="shared" ca="1" si="56"/>
        <v>2Q2022</v>
      </c>
      <c r="D575" vm="1141">
        <f ca="1"/>
        <v>44776</v>
      </c>
      <c r="E575" vm="1142">
        <f ca="1"/>
        <v>18.893000000000001</v>
      </c>
      <c r="F575" s="3">
        <f t="shared" ca="1" si="57"/>
        <v>2.635596625150663E-2</v>
      </c>
      <c r="G575" s="3">
        <f t="shared" ca="1" si="58"/>
        <v>0.95821615106468461</v>
      </c>
      <c r="H575" s="3">
        <f t="shared" ca="1" si="59"/>
        <v>0.26934511852149456</v>
      </c>
      <c r="I575" s="3">
        <f t="shared" ca="1" si="60"/>
        <v>179.20989710365853</v>
      </c>
      <c r="J575" s="3">
        <f t="shared" ca="1" si="61"/>
        <v>4.9292114255765203</v>
      </c>
      <c r="K575" s="3">
        <f t="shared" ca="1" si="62"/>
        <v>17.536051983890218</v>
      </c>
    </row>
    <row r="576" spans="3:11" x14ac:dyDescent="0.35">
      <c r="C576" t="str">
        <f t="shared" ca="1" si="56"/>
        <v>2Q2022</v>
      </c>
      <c r="D576" vm="1143">
        <f ca="1"/>
        <v>44777</v>
      </c>
      <c r="E576" vm="1144">
        <f ca="1"/>
        <v>19.215</v>
      </c>
      <c r="F576" s="3">
        <f t="shared" ca="1" si="57"/>
        <v>2.635596625150663E-2</v>
      </c>
      <c r="G576" s="3">
        <f t="shared" ca="1" si="58"/>
        <v>0.95821615106468461</v>
      </c>
      <c r="H576" s="3">
        <f t="shared" ca="1" si="59"/>
        <v>0.26934511852149456</v>
      </c>
      <c r="I576" s="3">
        <f t="shared" ca="1" si="60"/>
        <v>182.26423399390242</v>
      </c>
      <c r="J576" s="3">
        <f t="shared" ca="1" si="61"/>
        <v>5.0132216981132078</v>
      </c>
      <c r="K576" s="3">
        <f t="shared" ca="1" si="62"/>
        <v>17.834925044749404</v>
      </c>
    </row>
    <row r="577" spans="3:11" x14ac:dyDescent="0.35">
      <c r="C577" t="str">
        <f t="shared" ca="1" si="56"/>
        <v>2Q2022</v>
      </c>
      <c r="D577" vm="1145">
        <f ca="1"/>
        <v>44778</v>
      </c>
      <c r="E577" vm="1146">
        <f ca="1"/>
        <v>18.989000000000001</v>
      </c>
      <c r="F577" s="3">
        <f t="shared" ca="1" si="57"/>
        <v>2.635596625150663E-2</v>
      </c>
      <c r="G577" s="3">
        <f t="shared" ca="1" si="58"/>
        <v>0.95821615106468461</v>
      </c>
      <c r="H577" s="3">
        <f t="shared" ca="1" si="59"/>
        <v>0.26934511852149456</v>
      </c>
      <c r="I577" s="3">
        <f t="shared" ca="1" si="60"/>
        <v>180.12050685975609</v>
      </c>
      <c r="J577" s="3">
        <f t="shared" ca="1" si="61"/>
        <v>4.954257966457023</v>
      </c>
      <c r="K577" s="3">
        <f t="shared" ca="1" si="62"/>
        <v>17.625156995823392</v>
      </c>
    </row>
    <row r="578" spans="3:11" x14ac:dyDescent="0.35">
      <c r="C578" t="str">
        <f t="shared" ca="1" si="56"/>
        <v>2Q2022</v>
      </c>
      <c r="D578" vm="1147">
        <f ca="1"/>
        <v>44781</v>
      </c>
      <c r="E578" vm="1148">
        <f ca="1"/>
        <v>17.792999999999999</v>
      </c>
      <c r="F578" s="3">
        <f t="shared" ca="1" si="57"/>
        <v>2.635596625150663E-2</v>
      </c>
      <c r="G578" s="3">
        <f t="shared" ca="1" si="58"/>
        <v>0.95821615106468461</v>
      </c>
      <c r="H578" s="3">
        <f t="shared" ca="1" si="59"/>
        <v>0.26934511852149456</v>
      </c>
      <c r="I578" s="3">
        <f t="shared" ca="1" si="60"/>
        <v>168.7758269817073</v>
      </c>
      <c r="J578" s="3">
        <f t="shared" ca="1" si="61"/>
        <v>4.6422198113207545</v>
      </c>
      <c r="K578" s="3">
        <f t="shared" ca="1" si="62"/>
        <v>16.515057055489262</v>
      </c>
    </row>
    <row r="579" spans="3:11" x14ac:dyDescent="0.35">
      <c r="C579" t="str">
        <f t="shared" ref="C579:C642" ca="1" si="63">LOOKUP(D579,$N$2:$N$27,$M$2:$M$27)</f>
        <v>2Q2022</v>
      </c>
      <c r="D579" vm="1149">
        <f ca="1"/>
        <v>44782</v>
      </c>
      <c r="E579" vm="1150">
        <f ca="1"/>
        <v>17.085999999999999</v>
      </c>
      <c r="F579" s="3">
        <f t="shared" ca="1" si="57"/>
        <v>2.635596625150663E-2</v>
      </c>
      <c r="G579" s="3">
        <f t="shared" ca="1" si="58"/>
        <v>0.95821615106468461</v>
      </c>
      <c r="H579" s="3">
        <f t="shared" ca="1" si="59"/>
        <v>0.26934511852149456</v>
      </c>
      <c r="I579" s="3">
        <f t="shared" ca="1" si="60"/>
        <v>162.06956554878047</v>
      </c>
      <c r="J579" s="3">
        <f t="shared" ca="1" si="61"/>
        <v>4.4577624737945492</v>
      </c>
      <c r="K579" s="3">
        <f t="shared" ca="1" si="62"/>
        <v>15.858835769689737</v>
      </c>
    </row>
    <row r="580" spans="3:11" x14ac:dyDescent="0.35">
      <c r="C580" t="str">
        <f t="shared" ca="1" si="63"/>
        <v>2Q2022</v>
      </c>
      <c r="D580" vm="1151">
        <f ca="1"/>
        <v>44783</v>
      </c>
      <c r="E580" vm="1152">
        <f ca="1"/>
        <v>18.097000000000001</v>
      </c>
      <c r="F580" s="3">
        <f t="shared" ref="F580:F643" ca="1" si="64">VLOOKUP($C580,$M$2:$R$27,4,0)/VLOOKUP($C580,$M$2:$R$27,3,0)</f>
        <v>2.635596625150663E-2</v>
      </c>
      <c r="G580" s="3">
        <f t="shared" ref="G580:G643" ca="1" si="65">VLOOKUP($C580,$M$2:$R$27,6,0)/VLOOKUP($C580,$M$2:$R$27,3,0)</f>
        <v>0.95821615106468461</v>
      </c>
      <c r="H580" s="3">
        <f t="shared" ref="H580:H643" ca="1" si="66">VLOOKUP($C580,$M$2:$R$27,5,0)/VLOOKUP($C580,$M$2:$R$27,3,0)</f>
        <v>0.26934511852149456</v>
      </c>
      <c r="I580" s="3">
        <f t="shared" ref="I580:I643" ca="1" si="67">$E580/(F580*4)</f>
        <v>171.65942454268293</v>
      </c>
      <c r="J580" s="3">
        <f t="shared" ref="J580:J643" ca="1" si="68">$E580/(G580*4)</f>
        <v>4.7215338574423482</v>
      </c>
      <c r="K580" s="3">
        <f t="shared" ref="K580:K643" ca="1" si="69">$E580/(H580*4)</f>
        <v>16.797222926610981</v>
      </c>
    </row>
    <row r="581" spans="3:11" x14ac:dyDescent="0.35">
      <c r="C581" t="str">
        <f t="shared" ca="1" si="63"/>
        <v>2Q2022</v>
      </c>
      <c r="D581" vm="1153">
        <f ca="1"/>
        <v>44784</v>
      </c>
      <c r="E581" vm="1154">
        <f ca="1"/>
        <v>17.942</v>
      </c>
      <c r="F581" s="3">
        <f t="shared" ca="1" si="64"/>
        <v>2.635596625150663E-2</v>
      </c>
      <c r="G581" s="3">
        <f t="shared" ca="1" si="65"/>
        <v>0.95821615106468461</v>
      </c>
      <c r="H581" s="3">
        <f t="shared" ca="1" si="66"/>
        <v>0.26934511852149456</v>
      </c>
      <c r="I581" s="3">
        <f t="shared" ca="1" si="67"/>
        <v>170.18916920731706</v>
      </c>
      <c r="J581" s="3">
        <f t="shared" ca="1" si="68"/>
        <v>4.6810941299790354</v>
      </c>
      <c r="K581" s="3">
        <f t="shared" ca="1" si="69"/>
        <v>16.653355459427207</v>
      </c>
    </row>
    <row r="582" spans="3:11" x14ac:dyDescent="0.35">
      <c r="C582" t="str">
        <f t="shared" ca="1" si="63"/>
        <v>2Q2022</v>
      </c>
      <c r="D582" vm="1155">
        <f ca="1"/>
        <v>44785</v>
      </c>
      <c r="E582" vm="1156">
        <f ca="1"/>
        <v>18.709</v>
      </c>
      <c r="F582" s="3">
        <f t="shared" ca="1" si="64"/>
        <v>2.635596625150663E-2</v>
      </c>
      <c r="G582" s="3">
        <f t="shared" ca="1" si="65"/>
        <v>0.95821615106468461</v>
      </c>
      <c r="H582" s="3">
        <f t="shared" ca="1" si="66"/>
        <v>0.26934511852149456</v>
      </c>
      <c r="I582" s="3">
        <f t="shared" ca="1" si="67"/>
        <v>177.46456173780487</v>
      </c>
      <c r="J582" s="3">
        <f t="shared" ca="1" si="68"/>
        <v>4.8812055555555558</v>
      </c>
      <c r="K582" s="3">
        <f t="shared" ca="1" si="69"/>
        <v>17.365267377684965</v>
      </c>
    </row>
    <row r="583" spans="3:11" x14ac:dyDescent="0.35">
      <c r="C583" t="str">
        <f t="shared" ca="1" si="63"/>
        <v>2Q2022</v>
      </c>
      <c r="D583" vm="1157">
        <f ca="1"/>
        <v>44788</v>
      </c>
      <c r="E583" vm="1158">
        <f ca="1"/>
        <v>19.032</v>
      </c>
      <c r="F583" s="3">
        <f t="shared" ca="1" si="64"/>
        <v>2.635596625150663E-2</v>
      </c>
      <c r="G583" s="3">
        <f t="shared" ca="1" si="65"/>
        <v>0.95821615106468461</v>
      </c>
      <c r="H583" s="3">
        <f t="shared" ca="1" si="66"/>
        <v>0.26934511852149456</v>
      </c>
      <c r="I583" s="3">
        <f t="shared" ca="1" si="67"/>
        <v>180.52838414634147</v>
      </c>
      <c r="J583" s="3">
        <f t="shared" ca="1" si="68"/>
        <v>4.9654767295597484</v>
      </c>
      <c r="K583" s="3">
        <f t="shared" ca="1" si="69"/>
        <v>17.665068615751792</v>
      </c>
    </row>
    <row r="584" spans="3:11" x14ac:dyDescent="0.35">
      <c r="C584" t="str">
        <f t="shared" ca="1" si="63"/>
        <v>2Q2022</v>
      </c>
      <c r="D584" vm="1159">
        <f ca="1"/>
        <v>44789</v>
      </c>
      <c r="E584" vm="1160">
        <f ca="1"/>
        <v>18.879000000000001</v>
      </c>
      <c r="F584" s="3">
        <f t="shared" ca="1" si="64"/>
        <v>2.635596625150663E-2</v>
      </c>
      <c r="G584" s="3">
        <f t="shared" ca="1" si="65"/>
        <v>0.95821615106468461</v>
      </c>
      <c r="H584" s="3">
        <f t="shared" ca="1" si="66"/>
        <v>0.26934511852149456</v>
      </c>
      <c r="I584" s="3">
        <f t="shared" ca="1" si="67"/>
        <v>179.07709984756099</v>
      </c>
      <c r="J584" s="3">
        <f t="shared" ca="1" si="68"/>
        <v>4.9255588050314465</v>
      </c>
      <c r="K584" s="3">
        <f t="shared" ca="1" si="69"/>
        <v>17.523057502983296</v>
      </c>
    </row>
    <row r="585" spans="3:11" x14ac:dyDescent="0.35">
      <c r="C585" t="str">
        <f t="shared" ca="1" si="63"/>
        <v>2Q2022</v>
      </c>
      <c r="D585" vm="1161">
        <f ca="1"/>
        <v>44790</v>
      </c>
      <c r="E585" vm="1162">
        <f ca="1"/>
        <v>18.335000000000001</v>
      </c>
      <c r="F585" s="3">
        <f t="shared" ca="1" si="64"/>
        <v>2.635596625150663E-2</v>
      </c>
      <c r="G585" s="3">
        <f t="shared" ca="1" si="65"/>
        <v>0.95821615106468461</v>
      </c>
      <c r="H585" s="3">
        <f t="shared" ca="1" si="66"/>
        <v>0.26934511852149456</v>
      </c>
      <c r="I585" s="3">
        <f t="shared" ca="1" si="67"/>
        <v>173.91697789634148</v>
      </c>
      <c r="J585" s="3">
        <f t="shared" ca="1" si="68"/>
        <v>4.7836284067085959</v>
      </c>
      <c r="K585" s="3">
        <f t="shared" ca="1" si="69"/>
        <v>17.018129102028642</v>
      </c>
    </row>
    <row r="586" spans="3:11" x14ac:dyDescent="0.35">
      <c r="C586" t="str">
        <f t="shared" ca="1" si="63"/>
        <v>2Q2022</v>
      </c>
      <c r="D586" vm="1163">
        <f ca="1"/>
        <v>44791</v>
      </c>
      <c r="E586" vm="1164">
        <f ca="1"/>
        <v>18.773</v>
      </c>
      <c r="F586" s="3">
        <f t="shared" ca="1" si="64"/>
        <v>2.635596625150663E-2</v>
      </c>
      <c r="G586" s="3">
        <f t="shared" ca="1" si="65"/>
        <v>0.95821615106468461</v>
      </c>
      <c r="H586" s="3">
        <f t="shared" ca="1" si="66"/>
        <v>0.26934511852149456</v>
      </c>
      <c r="I586" s="3">
        <f t="shared" ca="1" si="67"/>
        <v>178.07163490853657</v>
      </c>
      <c r="J586" s="3">
        <f t="shared" ca="1" si="68"/>
        <v>4.897903249475891</v>
      </c>
      <c r="K586" s="3">
        <f t="shared" ca="1" si="69"/>
        <v>17.424670718973747</v>
      </c>
    </row>
    <row r="587" spans="3:11" x14ac:dyDescent="0.35">
      <c r="C587" t="str">
        <f t="shared" ca="1" si="63"/>
        <v>2Q2022</v>
      </c>
      <c r="D587" vm="1165">
        <f ca="1"/>
        <v>44792</v>
      </c>
      <c r="E587" vm="1166">
        <f ca="1"/>
        <v>17.849</v>
      </c>
      <c r="F587" s="3">
        <f t="shared" ca="1" si="64"/>
        <v>2.635596625150663E-2</v>
      </c>
      <c r="G587" s="3">
        <f t="shared" ca="1" si="65"/>
        <v>0.95821615106468461</v>
      </c>
      <c r="H587" s="3">
        <f t="shared" ca="1" si="66"/>
        <v>0.26934511852149456</v>
      </c>
      <c r="I587" s="3">
        <f t="shared" ca="1" si="67"/>
        <v>169.30701600609757</v>
      </c>
      <c r="J587" s="3">
        <f t="shared" ca="1" si="68"/>
        <v>4.6568302935010486</v>
      </c>
      <c r="K587" s="3">
        <f t="shared" ca="1" si="69"/>
        <v>16.567034979116947</v>
      </c>
    </row>
    <row r="588" spans="3:11" x14ac:dyDescent="0.35">
      <c r="C588" t="str">
        <f t="shared" ca="1" si="63"/>
        <v>2Q2022</v>
      </c>
      <c r="D588" vm="1167">
        <f ca="1"/>
        <v>44795</v>
      </c>
      <c r="E588" vm="1168">
        <f ca="1"/>
        <v>17.033999999999999</v>
      </c>
      <c r="F588" s="3">
        <f t="shared" ca="1" si="64"/>
        <v>2.635596625150663E-2</v>
      </c>
      <c r="G588" s="3">
        <f t="shared" ca="1" si="65"/>
        <v>0.95821615106468461</v>
      </c>
      <c r="H588" s="3">
        <f t="shared" ca="1" si="66"/>
        <v>0.26934511852149456</v>
      </c>
      <c r="I588" s="3">
        <f t="shared" ca="1" si="67"/>
        <v>161.57631859756097</v>
      </c>
      <c r="J588" s="3">
        <f t="shared" ca="1" si="68"/>
        <v>4.4441955974842768</v>
      </c>
      <c r="K588" s="3">
        <f t="shared" ca="1" si="69"/>
        <v>15.810570554892601</v>
      </c>
    </row>
    <row r="589" spans="3:11" x14ac:dyDescent="0.35">
      <c r="C589" t="str">
        <f t="shared" ca="1" si="63"/>
        <v>2Q2022</v>
      </c>
      <c r="D589" vm="1169">
        <f ca="1"/>
        <v>44796</v>
      </c>
      <c r="E589" vm="1170">
        <f ca="1"/>
        <v>17.181000000000001</v>
      </c>
      <c r="F589" s="3">
        <f t="shared" ca="1" si="64"/>
        <v>2.635596625150663E-2</v>
      </c>
      <c r="G589" s="3">
        <f t="shared" ca="1" si="65"/>
        <v>0.95821615106468461</v>
      </c>
      <c r="H589" s="3">
        <f t="shared" ca="1" si="66"/>
        <v>0.26934511852149456</v>
      </c>
      <c r="I589" s="3">
        <f t="shared" ca="1" si="67"/>
        <v>162.97068978658538</v>
      </c>
      <c r="J589" s="3">
        <f t="shared" ca="1" si="68"/>
        <v>4.4825481132075478</v>
      </c>
      <c r="K589" s="3">
        <f t="shared" ca="1" si="69"/>
        <v>15.947012604415276</v>
      </c>
    </row>
    <row r="590" spans="3:11" x14ac:dyDescent="0.35">
      <c r="C590" t="str">
        <f t="shared" ca="1" si="63"/>
        <v>2Q2022</v>
      </c>
      <c r="D590" vm="1171">
        <f ca="1"/>
        <v>44797</v>
      </c>
      <c r="E590" vm="1172">
        <f ca="1"/>
        <v>17.222000000000001</v>
      </c>
      <c r="F590" s="3">
        <f t="shared" ca="1" si="64"/>
        <v>2.635596625150663E-2</v>
      </c>
      <c r="G590" s="3">
        <f t="shared" ca="1" si="65"/>
        <v>0.95821615106468461</v>
      </c>
      <c r="H590" s="3">
        <f t="shared" ca="1" si="66"/>
        <v>0.26934511852149456</v>
      </c>
      <c r="I590" s="3">
        <f t="shared" ca="1" si="67"/>
        <v>163.35959603658537</v>
      </c>
      <c r="J590" s="3">
        <f t="shared" ca="1" si="68"/>
        <v>4.4932450733752622</v>
      </c>
      <c r="K590" s="3">
        <f t="shared" ca="1" si="69"/>
        <v>15.985067869928402</v>
      </c>
    </row>
    <row r="591" spans="3:11" x14ac:dyDescent="0.35">
      <c r="C591" t="str">
        <f t="shared" ca="1" si="63"/>
        <v>2Q2022</v>
      </c>
      <c r="D591" vm="1173">
        <f ca="1"/>
        <v>44798</v>
      </c>
      <c r="E591" vm="1174">
        <f ca="1"/>
        <v>17.913</v>
      </c>
      <c r="F591" s="3">
        <f t="shared" ca="1" si="64"/>
        <v>2.635596625150663E-2</v>
      </c>
      <c r="G591" s="3">
        <f t="shared" ca="1" si="65"/>
        <v>0.95821615106468461</v>
      </c>
      <c r="H591" s="3">
        <f t="shared" ca="1" si="66"/>
        <v>0.26934511852149456</v>
      </c>
      <c r="I591" s="3">
        <f t="shared" ca="1" si="67"/>
        <v>169.91408917682926</v>
      </c>
      <c r="J591" s="3">
        <f t="shared" ca="1" si="68"/>
        <v>4.6735279874213838</v>
      </c>
      <c r="K591" s="3">
        <f t="shared" ca="1" si="69"/>
        <v>16.626438320405729</v>
      </c>
    </row>
    <row r="592" spans="3:11" x14ac:dyDescent="0.35">
      <c r="C592" t="str">
        <f t="shared" ca="1" si="63"/>
        <v>2Q2022</v>
      </c>
      <c r="D592" vm="1175">
        <f ca="1"/>
        <v>44799</v>
      </c>
      <c r="E592" vm="1176">
        <f ca="1"/>
        <v>16.260000000000002</v>
      </c>
      <c r="F592" s="3">
        <f t="shared" ca="1" si="64"/>
        <v>2.635596625150663E-2</v>
      </c>
      <c r="G592" s="3">
        <f t="shared" ca="1" si="65"/>
        <v>0.95821615106468461</v>
      </c>
      <c r="H592" s="3">
        <f t="shared" ca="1" si="66"/>
        <v>0.26934511852149456</v>
      </c>
      <c r="I592" s="3">
        <f t="shared" ca="1" si="67"/>
        <v>154.23452743902439</v>
      </c>
      <c r="J592" s="3">
        <f t="shared" ca="1" si="68"/>
        <v>4.2422578616352205</v>
      </c>
      <c r="K592" s="3">
        <f t="shared" ca="1" si="69"/>
        <v>15.092161396181387</v>
      </c>
    </row>
    <row r="593" spans="3:11" x14ac:dyDescent="0.35">
      <c r="C593" t="str">
        <f t="shared" ca="1" si="63"/>
        <v>2Q2022</v>
      </c>
      <c r="D593" vm="1177">
        <f ca="1"/>
        <v>44802</v>
      </c>
      <c r="E593" vm="1178">
        <f ca="1"/>
        <v>15.801</v>
      </c>
      <c r="F593" s="3">
        <f t="shared" ca="1" si="64"/>
        <v>2.635596625150663E-2</v>
      </c>
      <c r="G593" s="3">
        <f t="shared" ca="1" si="65"/>
        <v>0.95821615106468461</v>
      </c>
      <c r="H593" s="3">
        <f t="shared" ca="1" si="66"/>
        <v>0.26934511852149456</v>
      </c>
      <c r="I593" s="3">
        <f t="shared" ca="1" si="67"/>
        <v>149.88067454268293</v>
      </c>
      <c r="J593" s="3">
        <f t="shared" ca="1" si="68"/>
        <v>4.1225040880503148</v>
      </c>
      <c r="K593" s="3">
        <f t="shared" ca="1" si="69"/>
        <v>14.666128057875897</v>
      </c>
    </row>
    <row r="594" spans="3:11" x14ac:dyDescent="0.35">
      <c r="C594" t="str">
        <f t="shared" ca="1" si="63"/>
        <v>2Q2022</v>
      </c>
      <c r="D594" vm="1179">
        <f ca="1"/>
        <v>44803</v>
      </c>
      <c r="E594" vm="1180">
        <f ca="1"/>
        <v>15.468</v>
      </c>
      <c r="F594" s="3">
        <f t="shared" ca="1" si="64"/>
        <v>2.635596625150663E-2</v>
      </c>
      <c r="G594" s="3">
        <f t="shared" ca="1" si="65"/>
        <v>0.95821615106468461</v>
      </c>
      <c r="H594" s="3">
        <f t="shared" ca="1" si="66"/>
        <v>0.26934511852149456</v>
      </c>
      <c r="I594" s="3">
        <f t="shared" ca="1" si="67"/>
        <v>146.72199695121952</v>
      </c>
      <c r="J594" s="3">
        <f t="shared" ca="1" si="68"/>
        <v>4.0356238993710694</v>
      </c>
      <c r="K594" s="3">
        <f t="shared" ca="1" si="69"/>
        <v>14.357045047732697</v>
      </c>
    </row>
    <row r="595" spans="3:11" x14ac:dyDescent="0.35">
      <c r="C595" t="str">
        <f t="shared" ca="1" si="63"/>
        <v>2Q2022</v>
      </c>
      <c r="D595" vm="1181">
        <f ca="1"/>
        <v>44804</v>
      </c>
      <c r="E595" vm="1182">
        <f ca="1"/>
        <v>15.093999999999999</v>
      </c>
      <c r="F595" s="3">
        <f t="shared" ca="1" si="64"/>
        <v>2.635596625150663E-2</v>
      </c>
      <c r="G595" s="3">
        <f t="shared" ca="1" si="65"/>
        <v>0.95821615106468461</v>
      </c>
      <c r="H595" s="3">
        <f t="shared" ca="1" si="66"/>
        <v>0.26934511852149456</v>
      </c>
      <c r="I595" s="3">
        <f t="shared" ca="1" si="67"/>
        <v>143.1744131097561</v>
      </c>
      <c r="J595" s="3">
        <f t="shared" ca="1" si="68"/>
        <v>3.938046750524109</v>
      </c>
      <c r="K595" s="3">
        <f t="shared" ca="1" si="69"/>
        <v>14.009906772076372</v>
      </c>
    </row>
    <row r="596" spans="3:11" x14ac:dyDescent="0.35">
      <c r="C596" t="str">
        <f t="shared" ca="1" si="63"/>
        <v>2Q2022</v>
      </c>
      <c r="D596" vm="1183">
        <f ca="1"/>
        <v>44805</v>
      </c>
      <c r="E596" vm="1184">
        <f ca="1"/>
        <v>13.936999999999999</v>
      </c>
      <c r="F596" s="3">
        <f t="shared" ca="1" si="64"/>
        <v>2.635596625150663E-2</v>
      </c>
      <c r="G596" s="3">
        <f t="shared" ca="1" si="65"/>
        <v>0.95821615106468461</v>
      </c>
      <c r="H596" s="3">
        <f t="shared" ca="1" si="66"/>
        <v>0.26934511852149456</v>
      </c>
      <c r="I596" s="3">
        <f t="shared" ca="1" si="67"/>
        <v>132.19966844512194</v>
      </c>
      <c r="J596" s="3">
        <f t="shared" ca="1" si="68"/>
        <v>3.6361837526205449</v>
      </c>
      <c r="K596" s="3">
        <f t="shared" ca="1" si="69"/>
        <v>12.936005742840095</v>
      </c>
    </row>
    <row r="597" spans="3:11" x14ac:dyDescent="0.35">
      <c r="C597" t="str">
        <f t="shared" ca="1" si="63"/>
        <v>2Q2022</v>
      </c>
      <c r="D597" vm="1185">
        <f ca="1"/>
        <v>44806</v>
      </c>
      <c r="E597" vm="1186">
        <f ca="1"/>
        <v>13.647</v>
      </c>
      <c r="F597" s="3">
        <f t="shared" ca="1" si="64"/>
        <v>2.635596625150663E-2</v>
      </c>
      <c r="G597" s="3">
        <f t="shared" ca="1" si="65"/>
        <v>0.95821615106468461</v>
      </c>
      <c r="H597" s="3">
        <f t="shared" ca="1" si="66"/>
        <v>0.26934511852149456</v>
      </c>
      <c r="I597" s="3">
        <f t="shared" ca="1" si="67"/>
        <v>129.44886814024392</v>
      </c>
      <c r="J597" s="3">
        <f t="shared" ca="1" si="68"/>
        <v>3.5605223270440254</v>
      </c>
      <c r="K597" s="3">
        <f t="shared" ca="1" si="69"/>
        <v>12.666834352625299</v>
      </c>
    </row>
    <row r="598" spans="3:11" x14ac:dyDescent="0.35">
      <c r="C598" t="str">
        <f t="shared" ca="1" si="63"/>
        <v>2Q2022</v>
      </c>
      <c r="D598" vm="1187">
        <f ca="1"/>
        <v>44810</v>
      </c>
      <c r="E598" vm="1188">
        <f ca="1"/>
        <v>13.465</v>
      </c>
      <c r="F598" s="3">
        <f t="shared" ca="1" si="64"/>
        <v>2.635596625150663E-2</v>
      </c>
      <c r="G598" s="3">
        <f t="shared" ca="1" si="65"/>
        <v>0.95821615106468461</v>
      </c>
      <c r="H598" s="3">
        <f t="shared" ca="1" si="66"/>
        <v>0.26934511852149456</v>
      </c>
      <c r="I598" s="3">
        <f t="shared" ca="1" si="67"/>
        <v>127.72250381097561</v>
      </c>
      <c r="J598" s="3">
        <f t="shared" ca="1" si="68"/>
        <v>3.5130382599580714</v>
      </c>
      <c r="K598" s="3">
        <f t="shared" ca="1" si="69"/>
        <v>12.497906100835323</v>
      </c>
    </row>
    <row r="599" spans="3:11" x14ac:dyDescent="0.35">
      <c r="C599" t="str">
        <f t="shared" ca="1" si="63"/>
        <v>2Q2022</v>
      </c>
      <c r="D599" vm="1189">
        <f ca="1"/>
        <v>44811</v>
      </c>
      <c r="E599" vm="1190">
        <f ca="1"/>
        <v>13.714</v>
      </c>
      <c r="F599" s="3">
        <f t="shared" ca="1" si="64"/>
        <v>2.635596625150663E-2</v>
      </c>
      <c r="G599" s="3">
        <f t="shared" ca="1" si="65"/>
        <v>0.95821615106468461</v>
      </c>
      <c r="H599" s="3">
        <f t="shared" ca="1" si="66"/>
        <v>0.26934511852149456</v>
      </c>
      <c r="I599" s="3">
        <f t="shared" ca="1" si="67"/>
        <v>130.08439786585367</v>
      </c>
      <c r="J599" s="3">
        <f t="shared" ca="1" si="68"/>
        <v>3.5780027253668765</v>
      </c>
      <c r="K599" s="3">
        <f t="shared" ca="1" si="69"/>
        <v>12.729022225536994</v>
      </c>
    </row>
    <row r="600" spans="3:11" x14ac:dyDescent="0.35">
      <c r="C600" t="str">
        <f t="shared" ca="1" si="63"/>
        <v>2Q2022</v>
      </c>
      <c r="D600" vm="1191">
        <f ca="1"/>
        <v>44812</v>
      </c>
      <c r="E600" vm="1192">
        <f ca="1"/>
        <v>13.99</v>
      </c>
      <c r="F600" s="3">
        <f t="shared" ca="1" si="64"/>
        <v>2.635596625150663E-2</v>
      </c>
      <c r="G600" s="3">
        <f t="shared" ca="1" si="65"/>
        <v>0.95821615106468461</v>
      </c>
      <c r="H600" s="3">
        <f t="shared" ca="1" si="66"/>
        <v>0.26934511852149456</v>
      </c>
      <c r="I600" s="3">
        <f t="shared" ca="1" si="67"/>
        <v>132.70240091463415</v>
      </c>
      <c r="J600" s="3">
        <f t="shared" ca="1" si="68"/>
        <v>3.6500115303983227</v>
      </c>
      <c r="K600" s="3">
        <f t="shared" ca="1" si="69"/>
        <v>12.985199134844869</v>
      </c>
    </row>
    <row r="601" spans="3:11" x14ac:dyDescent="0.35">
      <c r="C601" t="str">
        <f t="shared" ca="1" si="63"/>
        <v>2Q2022</v>
      </c>
      <c r="D601" vm="1193">
        <f ca="1"/>
        <v>44813</v>
      </c>
      <c r="E601" vm="1194">
        <f ca="1"/>
        <v>14.387</v>
      </c>
      <c r="F601" s="3">
        <f t="shared" ca="1" si="64"/>
        <v>2.635596625150663E-2</v>
      </c>
      <c r="G601" s="3">
        <f t="shared" ca="1" si="65"/>
        <v>0.95821615106468461</v>
      </c>
      <c r="H601" s="3">
        <f t="shared" ca="1" si="66"/>
        <v>0.26934511852149456</v>
      </c>
      <c r="I601" s="3">
        <f t="shared" ca="1" si="67"/>
        <v>136.46815167682928</v>
      </c>
      <c r="J601" s="3">
        <f t="shared" ca="1" si="68"/>
        <v>3.7535894129979037</v>
      </c>
      <c r="K601" s="3">
        <f t="shared" ca="1" si="69"/>
        <v>13.35368548627685</v>
      </c>
    </row>
    <row r="602" spans="3:11" x14ac:dyDescent="0.35">
      <c r="C602" t="str">
        <f t="shared" ca="1" si="63"/>
        <v>2Q2022</v>
      </c>
      <c r="D602" vm="1195">
        <f ca="1"/>
        <v>44816</v>
      </c>
      <c r="E602" vm="1196">
        <f ca="1"/>
        <v>14.505000000000001</v>
      </c>
      <c r="F602" s="3">
        <f t="shared" ca="1" si="64"/>
        <v>2.635596625150663E-2</v>
      </c>
      <c r="G602" s="3">
        <f t="shared" ca="1" si="65"/>
        <v>0.95821615106468461</v>
      </c>
      <c r="H602" s="3">
        <f t="shared" ca="1" si="66"/>
        <v>0.26934511852149456</v>
      </c>
      <c r="I602" s="3">
        <f t="shared" ca="1" si="67"/>
        <v>137.58744283536586</v>
      </c>
      <c r="J602" s="3">
        <f t="shared" ca="1" si="68"/>
        <v>3.7843757861635221</v>
      </c>
      <c r="K602" s="3">
        <f t="shared" ca="1" si="69"/>
        <v>13.463210396778043</v>
      </c>
    </row>
    <row r="603" spans="3:11" x14ac:dyDescent="0.35">
      <c r="C603" t="str">
        <f t="shared" ca="1" si="63"/>
        <v>2Q2022</v>
      </c>
      <c r="D603" vm="1197">
        <f ca="1"/>
        <v>44817</v>
      </c>
      <c r="E603" vm="1198">
        <f ca="1"/>
        <v>13.131</v>
      </c>
      <c r="F603" s="3">
        <f t="shared" ca="1" si="64"/>
        <v>2.635596625150663E-2</v>
      </c>
      <c r="G603" s="3">
        <f t="shared" ca="1" si="65"/>
        <v>0.95821615106468461</v>
      </c>
      <c r="H603" s="3">
        <f t="shared" ca="1" si="66"/>
        <v>0.26934511852149456</v>
      </c>
      <c r="I603" s="3">
        <f t="shared" ca="1" si="67"/>
        <v>124.55434070121952</v>
      </c>
      <c r="J603" s="3">
        <f t="shared" ca="1" si="68"/>
        <v>3.425897169811321</v>
      </c>
      <c r="K603" s="3">
        <f t="shared" ca="1" si="69"/>
        <v>12.187894913484488</v>
      </c>
    </row>
    <row r="604" spans="3:11" x14ac:dyDescent="0.35">
      <c r="C604" t="str">
        <f t="shared" ca="1" si="63"/>
        <v>2Q2022</v>
      </c>
      <c r="D604" vm="1199">
        <f ca="1"/>
        <v>44818</v>
      </c>
      <c r="E604" vm="1200">
        <f ca="1"/>
        <v>13.128</v>
      </c>
      <c r="F604" s="3">
        <f t="shared" ca="1" si="64"/>
        <v>2.635596625150663E-2</v>
      </c>
      <c r="G604" s="3">
        <f t="shared" ca="1" si="65"/>
        <v>0.95821615106468461</v>
      </c>
      <c r="H604" s="3">
        <f t="shared" ca="1" si="66"/>
        <v>0.26934511852149456</v>
      </c>
      <c r="I604" s="3">
        <f t="shared" ca="1" si="67"/>
        <v>124.52588414634147</v>
      </c>
      <c r="J604" s="3">
        <f t="shared" ca="1" si="68"/>
        <v>3.425114465408805</v>
      </c>
      <c r="K604" s="3">
        <f t="shared" ca="1" si="69"/>
        <v>12.185110381861575</v>
      </c>
    </row>
    <row r="605" spans="3:11" x14ac:dyDescent="0.35">
      <c r="C605" t="str">
        <f t="shared" ca="1" si="63"/>
        <v>2Q2022</v>
      </c>
      <c r="D605" vm="1201">
        <f ca="1"/>
        <v>44819</v>
      </c>
      <c r="E605" vm="1202">
        <f ca="1"/>
        <v>12.929</v>
      </c>
      <c r="F605" s="3">
        <f t="shared" ca="1" si="64"/>
        <v>2.635596625150663E-2</v>
      </c>
      <c r="G605" s="3">
        <f t="shared" ca="1" si="65"/>
        <v>0.95821615106468461</v>
      </c>
      <c r="H605" s="3">
        <f t="shared" ca="1" si="66"/>
        <v>0.26934511852149456</v>
      </c>
      <c r="I605" s="3">
        <f t="shared" ca="1" si="67"/>
        <v>122.63826600609757</v>
      </c>
      <c r="J605" s="3">
        <f t="shared" ca="1" si="68"/>
        <v>3.3731950733752623</v>
      </c>
      <c r="K605" s="3">
        <f t="shared" ca="1" si="69"/>
        <v>12.000403117541767</v>
      </c>
    </row>
    <row r="606" spans="3:11" x14ac:dyDescent="0.35">
      <c r="C606" t="str">
        <f t="shared" ca="1" si="63"/>
        <v>2Q2022</v>
      </c>
      <c r="D606" vm="1203">
        <f ca="1"/>
        <v>44820</v>
      </c>
      <c r="E606" vm="1204">
        <f ca="1"/>
        <v>13.198</v>
      </c>
      <c r="F606" s="3">
        <f t="shared" ca="1" si="64"/>
        <v>2.635596625150663E-2</v>
      </c>
      <c r="G606" s="3">
        <f t="shared" ca="1" si="65"/>
        <v>0.95821615106468461</v>
      </c>
      <c r="H606" s="3">
        <f t="shared" ca="1" si="66"/>
        <v>0.26934511852149456</v>
      </c>
      <c r="I606" s="3">
        <f t="shared" ca="1" si="67"/>
        <v>125.18987042682927</v>
      </c>
      <c r="J606" s="3">
        <f t="shared" ca="1" si="68"/>
        <v>3.4433775681341721</v>
      </c>
      <c r="K606" s="3">
        <f t="shared" ca="1" si="69"/>
        <v>12.250082786396183</v>
      </c>
    </row>
    <row r="607" spans="3:11" x14ac:dyDescent="0.35">
      <c r="C607" t="str">
        <f t="shared" ca="1" si="63"/>
        <v>2Q2022</v>
      </c>
      <c r="D607" vm="1205">
        <f ca="1"/>
        <v>44823</v>
      </c>
      <c r="E607" vm="1206">
        <f ca="1"/>
        <v>13.382</v>
      </c>
      <c r="F607" s="3">
        <f t="shared" ca="1" si="64"/>
        <v>2.635596625150663E-2</v>
      </c>
      <c r="G607" s="3">
        <f t="shared" ca="1" si="65"/>
        <v>0.95821615106468461</v>
      </c>
      <c r="H607" s="3">
        <f t="shared" ca="1" si="66"/>
        <v>0.26934511852149456</v>
      </c>
      <c r="I607" s="3">
        <f t="shared" ca="1" si="67"/>
        <v>126.93520579268292</v>
      </c>
      <c r="J607" s="3">
        <f t="shared" ca="1" si="68"/>
        <v>3.4913834381551361</v>
      </c>
      <c r="K607" s="3">
        <f t="shared" ca="1" si="69"/>
        <v>12.420867392601432</v>
      </c>
    </row>
    <row r="608" spans="3:11" x14ac:dyDescent="0.35">
      <c r="C608" t="str">
        <f t="shared" ca="1" si="63"/>
        <v>2Q2022</v>
      </c>
      <c r="D608" vm="1207">
        <f ca="1"/>
        <v>44824</v>
      </c>
      <c r="E608" vm="1208">
        <f ca="1"/>
        <v>13.176</v>
      </c>
      <c r="F608" s="3">
        <f t="shared" ca="1" si="64"/>
        <v>2.635596625150663E-2</v>
      </c>
      <c r="G608" s="3">
        <f t="shared" ca="1" si="65"/>
        <v>0.95821615106468461</v>
      </c>
      <c r="H608" s="3">
        <f t="shared" ca="1" si="66"/>
        <v>0.26934511852149456</v>
      </c>
      <c r="I608" s="3">
        <f t="shared" ca="1" si="67"/>
        <v>124.98118902439025</v>
      </c>
      <c r="J608" s="3">
        <f t="shared" ca="1" si="68"/>
        <v>3.4376377358490569</v>
      </c>
      <c r="K608" s="3">
        <f t="shared" ca="1" si="69"/>
        <v>12.229662887828162</v>
      </c>
    </row>
    <row r="609" spans="3:11" x14ac:dyDescent="0.35">
      <c r="C609" t="str">
        <f t="shared" ca="1" si="63"/>
        <v>2Q2022</v>
      </c>
      <c r="D609" vm="1209">
        <f ca="1"/>
        <v>44825</v>
      </c>
      <c r="E609" vm="1210">
        <f ca="1"/>
        <v>13.260999999999999</v>
      </c>
      <c r="F609" s="3">
        <f t="shared" ca="1" si="64"/>
        <v>2.635596625150663E-2</v>
      </c>
      <c r="G609" s="3">
        <f t="shared" ca="1" si="65"/>
        <v>0.95821615106468461</v>
      </c>
      <c r="H609" s="3">
        <f t="shared" ca="1" si="66"/>
        <v>0.26934511852149456</v>
      </c>
      <c r="I609" s="3">
        <f t="shared" ca="1" si="67"/>
        <v>125.78745807926829</v>
      </c>
      <c r="J609" s="3">
        <f t="shared" ca="1" si="68"/>
        <v>3.4598143605870018</v>
      </c>
      <c r="K609" s="3">
        <f t="shared" ca="1" si="69"/>
        <v>12.308557950477327</v>
      </c>
    </row>
    <row r="610" spans="3:11" x14ac:dyDescent="0.35">
      <c r="C610" t="str">
        <f t="shared" ca="1" si="63"/>
        <v>2Q2022</v>
      </c>
      <c r="D610" vm="1211">
        <f ca="1"/>
        <v>44826</v>
      </c>
      <c r="E610" vm="1212">
        <f ca="1"/>
        <v>12.561</v>
      </c>
      <c r="F610" s="3">
        <f t="shared" ca="1" si="64"/>
        <v>2.635596625150663E-2</v>
      </c>
      <c r="G610" s="3">
        <f t="shared" ca="1" si="65"/>
        <v>0.95821615106468461</v>
      </c>
      <c r="H610" s="3">
        <f t="shared" ca="1" si="66"/>
        <v>0.26934511852149456</v>
      </c>
      <c r="I610" s="3">
        <f t="shared" ca="1" si="67"/>
        <v>119.14759527439024</v>
      </c>
      <c r="J610" s="3">
        <f t="shared" ca="1" si="68"/>
        <v>3.2771833333333333</v>
      </c>
      <c r="K610" s="3">
        <f t="shared" ca="1" si="69"/>
        <v>11.658833905131265</v>
      </c>
    </row>
    <row r="611" spans="3:11" x14ac:dyDescent="0.35">
      <c r="C611" t="str">
        <f t="shared" ca="1" si="63"/>
        <v>2Q2022</v>
      </c>
      <c r="D611" vm="1213">
        <f ca="1"/>
        <v>44827</v>
      </c>
      <c r="E611" vm="1214">
        <f ca="1"/>
        <v>12.516</v>
      </c>
      <c r="F611" s="3">
        <f t="shared" ca="1" si="64"/>
        <v>2.635596625150663E-2</v>
      </c>
      <c r="G611" s="3">
        <f t="shared" ca="1" si="65"/>
        <v>0.95821615106468461</v>
      </c>
      <c r="H611" s="3">
        <f t="shared" ca="1" si="66"/>
        <v>0.26934511852149456</v>
      </c>
      <c r="I611" s="3">
        <f t="shared" ca="1" si="67"/>
        <v>118.72074695121951</v>
      </c>
      <c r="J611" s="3">
        <f t="shared" ca="1" si="68"/>
        <v>3.2654427672955975</v>
      </c>
      <c r="K611" s="3">
        <f t="shared" ca="1" si="69"/>
        <v>11.617065930787589</v>
      </c>
    </row>
    <row r="612" spans="3:11" x14ac:dyDescent="0.35">
      <c r="C612" t="str">
        <f t="shared" ca="1" si="63"/>
        <v>2Q2022</v>
      </c>
      <c r="D612" vm="1215">
        <f ca="1"/>
        <v>44830</v>
      </c>
      <c r="E612" vm="1216">
        <f ca="1"/>
        <v>12.228</v>
      </c>
      <c r="F612" s="3">
        <f t="shared" ca="1" si="64"/>
        <v>2.635596625150663E-2</v>
      </c>
      <c r="G612" s="3">
        <f t="shared" ca="1" si="65"/>
        <v>0.95821615106468461</v>
      </c>
      <c r="H612" s="3">
        <f t="shared" ca="1" si="66"/>
        <v>0.26934511852149456</v>
      </c>
      <c r="I612" s="3">
        <f t="shared" ca="1" si="67"/>
        <v>115.98891768292683</v>
      </c>
      <c r="J612" s="3">
        <f t="shared" ca="1" si="68"/>
        <v>3.1903031446540879</v>
      </c>
      <c r="K612" s="3">
        <f t="shared" ca="1" si="69"/>
        <v>11.349750894988068</v>
      </c>
    </row>
    <row r="613" spans="3:11" x14ac:dyDescent="0.35">
      <c r="C613" t="str">
        <f t="shared" ca="1" si="63"/>
        <v>2Q2022</v>
      </c>
      <c r="D613" vm="1217">
        <f ca="1"/>
        <v>44831</v>
      </c>
      <c r="E613" vm="1218">
        <f ca="1"/>
        <v>12.413</v>
      </c>
      <c r="F613" s="3">
        <f t="shared" ca="1" si="64"/>
        <v>2.635596625150663E-2</v>
      </c>
      <c r="G613" s="3">
        <f t="shared" ca="1" si="65"/>
        <v>0.95821615106468461</v>
      </c>
      <c r="H613" s="3">
        <f t="shared" ca="1" si="66"/>
        <v>0.26934511852149456</v>
      </c>
      <c r="I613" s="3">
        <f t="shared" ca="1" si="67"/>
        <v>117.74373856707317</v>
      </c>
      <c r="J613" s="3">
        <f t="shared" ca="1" si="68"/>
        <v>3.2385699161425578</v>
      </c>
      <c r="K613" s="3">
        <f t="shared" ca="1" si="69"/>
        <v>11.521463678400956</v>
      </c>
    </row>
    <row r="614" spans="3:11" x14ac:dyDescent="0.35">
      <c r="C614" t="str">
        <f t="shared" ca="1" si="63"/>
        <v>2Q2022</v>
      </c>
      <c r="D614" vm="1219">
        <f ca="1"/>
        <v>44832</v>
      </c>
      <c r="E614" vm="1220">
        <f ca="1"/>
        <v>12.736000000000001</v>
      </c>
      <c r="F614" s="3">
        <f t="shared" ca="1" si="64"/>
        <v>2.635596625150663E-2</v>
      </c>
      <c r="G614" s="3">
        <f t="shared" ca="1" si="65"/>
        <v>0.95821615106468461</v>
      </c>
      <c r="H614" s="3">
        <f t="shared" ca="1" si="66"/>
        <v>0.26934511852149456</v>
      </c>
      <c r="I614" s="3">
        <f t="shared" ca="1" si="67"/>
        <v>120.80756097560976</v>
      </c>
      <c r="J614" s="3">
        <f t="shared" ca="1" si="68"/>
        <v>3.3228410901467509</v>
      </c>
      <c r="K614" s="3">
        <f t="shared" ca="1" si="69"/>
        <v>11.821264916467781</v>
      </c>
    </row>
    <row r="615" spans="3:11" x14ac:dyDescent="0.35">
      <c r="C615" t="str">
        <f t="shared" ca="1" si="63"/>
        <v>2Q2022</v>
      </c>
      <c r="D615" vm="1221">
        <f ca="1"/>
        <v>44833</v>
      </c>
      <c r="E615" vm="1222">
        <f ca="1"/>
        <v>12.22</v>
      </c>
      <c r="F615" s="3">
        <f t="shared" ca="1" si="64"/>
        <v>2.635596625150663E-2</v>
      </c>
      <c r="G615" s="3">
        <f t="shared" ca="1" si="65"/>
        <v>0.95821615106468461</v>
      </c>
      <c r="H615" s="3">
        <f t="shared" ca="1" si="66"/>
        <v>0.26934511852149456</v>
      </c>
      <c r="I615" s="3">
        <f t="shared" ca="1" si="67"/>
        <v>115.91303353658537</v>
      </c>
      <c r="J615" s="3">
        <f t="shared" ca="1" si="68"/>
        <v>3.1882159329140465</v>
      </c>
      <c r="K615" s="3">
        <f t="shared" ca="1" si="69"/>
        <v>11.34232547732697</v>
      </c>
    </row>
    <row r="616" spans="3:11" x14ac:dyDescent="0.35">
      <c r="C616" t="str">
        <f t="shared" ca="1" si="63"/>
        <v>2Q2022</v>
      </c>
      <c r="D616" vm="1223">
        <f ca="1"/>
        <v>44834</v>
      </c>
      <c r="E616" vm="1224">
        <f ca="1"/>
        <v>12.138999999999999</v>
      </c>
      <c r="F616" s="3">
        <f t="shared" ca="1" si="64"/>
        <v>2.635596625150663E-2</v>
      </c>
      <c r="G616" s="3">
        <f t="shared" ca="1" si="65"/>
        <v>0.95821615106468461</v>
      </c>
      <c r="H616" s="3">
        <f t="shared" ca="1" si="66"/>
        <v>0.26934511852149456</v>
      </c>
      <c r="I616" s="3">
        <f t="shared" ca="1" si="67"/>
        <v>115.14470655487804</v>
      </c>
      <c r="J616" s="3">
        <f t="shared" ca="1" si="68"/>
        <v>3.1670829140461216</v>
      </c>
      <c r="K616" s="3">
        <f t="shared" ca="1" si="69"/>
        <v>11.267143123508353</v>
      </c>
    </row>
    <row r="617" spans="3:11" x14ac:dyDescent="0.35">
      <c r="C617" t="str">
        <f t="shared" ca="1" si="63"/>
        <v>2Q2022</v>
      </c>
      <c r="D617" vm="1225">
        <f ca="1"/>
        <v>44837</v>
      </c>
      <c r="E617" vm="1226">
        <f ca="1"/>
        <v>12.512</v>
      </c>
      <c r="F617" s="3">
        <f t="shared" ca="1" si="64"/>
        <v>2.635596625150663E-2</v>
      </c>
      <c r="G617" s="3">
        <f t="shared" ca="1" si="65"/>
        <v>0.95821615106468461</v>
      </c>
      <c r="H617" s="3">
        <f t="shared" ca="1" si="66"/>
        <v>0.26934511852149456</v>
      </c>
      <c r="I617" s="3">
        <f t="shared" ca="1" si="67"/>
        <v>118.68280487804878</v>
      </c>
      <c r="J617" s="3">
        <f t="shared" ca="1" si="68"/>
        <v>3.2643991614255765</v>
      </c>
      <c r="K617" s="3">
        <f t="shared" ca="1" si="69"/>
        <v>11.613353221957041</v>
      </c>
    </row>
    <row r="618" spans="3:11" x14ac:dyDescent="0.35">
      <c r="C618" t="str">
        <f t="shared" ca="1" si="63"/>
        <v>2Q2022</v>
      </c>
      <c r="D618" vm="1227">
        <f ca="1"/>
        <v>44838</v>
      </c>
      <c r="E618" vm="1228">
        <f ca="1"/>
        <v>13.167</v>
      </c>
      <c r="F618" s="3">
        <f t="shared" ca="1" si="64"/>
        <v>2.635596625150663E-2</v>
      </c>
      <c r="G618" s="3">
        <f t="shared" ca="1" si="65"/>
        <v>0.95821615106468461</v>
      </c>
      <c r="H618" s="3">
        <f t="shared" ca="1" si="66"/>
        <v>0.26934511852149456</v>
      </c>
      <c r="I618" s="3">
        <f t="shared" ca="1" si="67"/>
        <v>124.89581935975609</v>
      </c>
      <c r="J618" s="3">
        <f t="shared" ca="1" si="68"/>
        <v>3.4352896226415095</v>
      </c>
      <c r="K618" s="3">
        <f t="shared" ca="1" si="69"/>
        <v>12.221309292959427</v>
      </c>
    </row>
    <row r="619" spans="3:11" x14ac:dyDescent="0.35">
      <c r="C619" t="str">
        <f t="shared" ca="1" si="63"/>
        <v>2Q2022</v>
      </c>
      <c r="D619" vm="1229">
        <f ca="1"/>
        <v>44839</v>
      </c>
      <c r="E619" vm="1230">
        <f ca="1"/>
        <v>13.209</v>
      </c>
      <c r="F619" s="3">
        <f t="shared" ca="1" si="64"/>
        <v>2.635596625150663E-2</v>
      </c>
      <c r="G619" s="3">
        <f t="shared" ca="1" si="65"/>
        <v>0.95821615106468461</v>
      </c>
      <c r="H619" s="3">
        <f t="shared" ca="1" si="66"/>
        <v>0.26934511852149456</v>
      </c>
      <c r="I619" s="3">
        <f t="shared" ca="1" si="67"/>
        <v>125.29421112804877</v>
      </c>
      <c r="J619" s="3">
        <f t="shared" ca="1" si="68"/>
        <v>3.4462474842767294</v>
      </c>
      <c r="K619" s="3">
        <f t="shared" ca="1" si="69"/>
        <v>12.26029273568019</v>
      </c>
    </row>
    <row r="620" spans="3:11" x14ac:dyDescent="0.35">
      <c r="C620" t="str">
        <f t="shared" ca="1" si="63"/>
        <v>2Q2022</v>
      </c>
      <c r="D620" vm="1231">
        <f ca="1"/>
        <v>44840</v>
      </c>
      <c r="E620" vm="1232">
        <f ca="1"/>
        <v>13.13</v>
      </c>
      <c r="F620" s="3">
        <f t="shared" ca="1" si="64"/>
        <v>2.635596625150663E-2</v>
      </c>
      <c r="G620" s="3">
        <f t="shared" ca="1" si="65"/>
        <v>0.95821615106468461</v>
      </c>
      <c r="H620" s="3">
        <f t="shared" ca="1" si="66"/>
        <v>0.26934511852149456</v>
      </c>
      <c r="I620" s="3">
        <f t="shared" ca="1" si="67"/>
        <v>124.54485518292684</v>
      </c>
      <c r="J620" s="3">
        <f t="shared" ca="1" si="68"/>
        <v>3.4256362683438155</v>
      </c>
      <c r="K620" s="3">
        <f t="shared" ca="1" si="69"/>
        <v>12.186966736276851</v>
      </c>
    </row>
    <row r="621" spans="3:11" x14ac:dyDescent="0.35">
      <c r="C621" t="str">
        <f t="shared" ca="1" si="63"/>
        <v>2Q2022</v>
      </c>
      <c r="D621" vm="1233">
        <f ca="1"/>
        <v>44841</v>
      </c>
      <c r="E621" vm="1234">
        <f ca="1"/>
        <v>12.076000000000001</v>
      </c>
      <c r="F621" s="3">
        <f t="shared" ca="1" si="64"/>
        <v>2.635596625150663E-2</v>
      </c>
      <c r="G621" s="3">
        <f t="shared" ca="1" si="65"/>
        <v>0.95821615106468461</v>
      </c>
      <c r="H621" s="3">
        <f t="shared" ca="1" si="66"/>
        <v>0.26934511852149456</v>
      </c>
      <c r="I621" s="3">
        <f t="shared" ca="1" si="67"/>
        <v>114.54711890243902</v>
      </c>
      <c r="J621" s="3">
        <f t="shared" ca="1" si="68"/>
        <v>3.1506461215932915</v>
      </c>
      <c r="K621" s="3">
        <f t="shared" ca="1" si="69"/>
        <v>11.208667959427208</v>
      </c>
    </row>
    <row r="622" spans="3:11" x14ac:dyDescent="0.35">
      <c r="C622" t="str">
        <f t="shared" ca="1" si="63"/>
        <v>2Q2022</v>
      </c>
      <c r="D622" vm="1235">
        <f ca="1"/>
        <v>44844</v>
      </c>
      <c r="E622" vm="1236">
        <f ca="1"/>
        <v>11.67</v>
      </c>
      <c r="F622" s="3">
        <f t="shared" ca="1" si="64"/>
        <v>2.635596625150663E-2</v>
      </c>
      <c r="G622" s="3">
        <f t="shared" ca="1" si="65"/>
        <v>0.95821615106468461</v>
      </c>
      <c r="H622" s="3">
        <f t="shared" ca="1" si="66"/>
        <v>0.26934511852149456</v>
      </c>
      <c r="I622" s="3">
        <f t="shared" ca="1" si="67"/>
        <v>110.69599847560976</v>
      </c>
      <c r="J622" s="3">
        <f t="shared" ca="1" si="68"/>
        <v>3.0447201257861636</v>
      </c>
      <c r="K622" s="3">
        <f t="shared" ca="1" si="69"/>
        <v>10.831828013126492</v>
      </c>
    </row>
    <row r="623" spans="3:11" x14ac:dyDescent="0.35">
      <c r="C623" t="str">
        <f t="shared" ca="1" si="63"/>
        <v>2Q2022</v>
      </c>
      <c r="D623" vm="1237">
        <f ca="1"/>
        <v>44845</v>
      </c>
      <c r="E623" vm="1238">
        <f ca="1"/>
        <v>11.586</v>
      </c>
      <c r="F623" s="3">
        <f t="shared" ca="1" si="64"/>
        <v>2.635596625150663E-2</v>
      </c>
      <c r="G623" s="3">
        <f t="shared" ca="1" si="65"/>
        <v>0.95821615106468461</v>
      </c>
      <c r="H623" s="3">
        <f t="shared" ca="1" si="66"/>
        <v>0.26934511852149456</v>
      </c>
      <c r="I623" s="3">
        <f t="shared" ca="1" si="67"/>
        <v>109.89921493902439</v>
      </c>
      <c r="J623" s="3">
        <f t="shared" ca="1" si="68"/>
        <v>3.0228044025157232</v>
      </c>
      <c r="K623" s="3">
        <f t="shared" ca="1" si="69"/>
        <v>10.753861127684965</v>
      </c>
    </row>
    <row r="624" spans="3:11" x14ac:dyDescent="0.35">
      <c r="C624" t="str">
        <f t="shared" ca="1" si="63"/>
        <v>2Q2022</v>
      </c>
      <c r="D624" vm="1239">
        <f ca="1"/>
        <v>44846</v>
      </c>
      <c r="E624" vm="1240">
        <f ca="1"/>
        <v>11.5</v>
      </c>
      <c r="F624" s="3">
        <f t="shared" ca="1" si="64"/>
        <v>2.635596625150663E-2</v>
      </c>
      <c r="G624" s="3">
        <f t="shared" ca="1" si="65"/>
        <v>0.95821615106468461</v>
      </c>
      <c r="H624" s="3">
        <f t="shared" ca="1" si="66"/>
        <v>0.26934511852149456</v>
      </c>
      <c r="I624" s="3">
        <f t="shared" ca="1" si="67"/>
        <v>109.08346036585365</v>
      </c>
      <c r="J624" s="3">
        <f t="shared" ca="1" si="68"/>
        <v>3.0003668763102724</v>
      </c>
      <c r="K624" s="3">
        <f t="shared" ca="1" si="69"/>
        <v>10.674037887828163</v>
      </c>
    </row>
    <row r="625" spans="3:11" x14ac:dyDescent="0.35">
      <c r="C625" t="str">
        <f t="shared" ca="1" si="63"/>
        <v>2Q2022</v>
      </c>
      <c r="D625" vm="1241">
        <f ca="1"/>
        <v>44847</v>
      </c>
      <c r="E625" vm="1242">
        <f ca="1"/>
        <v>11.96</v>
      </c>
      <c r="F625" s="3">
        <f t="shared" ca="1" si="64"/>
        <v>2.635596625150663E-2</v>
      </c>
      <c r="G625" s="3">
        <f t="shared" ca="1" si="65"/>
        <v>0.95821615106468461</v>
      </c>
      <c r="H625" s="3">
        <f t="shared" ca="1" si="66"/>
        <v>0.26934511852149456</v>
      </c>
      <c r="I625" s="3">
        <f t="shared" ca="1" si="67"/>
        <v>113.44679878048781</v>
      </c>
      <c r="J625" s="3">
        <f t="shared" ca="1" si="68"/>
        <v>3.1203815513626836</v>
      </c>
      <c r="K625" s="3">
        <f t="shared" ca="1" si="69"/>
        <v>11.100999403341291</v>
      </c>
    </row>
    <row r="626" spans="3:11" x14ac:dyDescent="0.35">
      <c r="C626" t="str">
        <f t="shared" ca="1" si="63"/>
        <v>2Q2022</v>
      </c>
      <c r="D626" vm="1243">
        <f ca="1"/>
        <v>44848</v>
      </c>
      <c r="E626" vm="1244">
        <f ca="1"/>
        <v>11.227</v>
      </c>
      <c r="F626" s="3">
        <f t="shared" ca="1" si="64"/>
        <v>2.635596625150663E-2</v>
      </c>
      <c r="G626" s="3">
        <f t="shared" ca="1" si="65"/>
        <v>0.95821615106468461</v>
      </c>
      <c r="H626" s="3">
        <f t="shared" ca="1" si="66"/>
        <v>0.26934511852149456</v>
      </c>
      <c r="I626" s="3">
        <f t="shared" ca="1" si="67"/>
        <v>106.49391387195122</v>
      </c>
      <c r="J626" s="3">
        <f t="shared" ca="1" si="68"/>
        <v>2.9291407756813417</v>
      </c>
      <c r="K626" s="3">
        <f t="shared" ca="1" si="69"/>
        <v>10.420645510143199</v>
      </c>
    </row>
    <row r="627" spans="3:11" x14ac:dyDescent="0.35">
      <c r="C627" t="str">
        <f t="shared" ca="1" si="63"/>
        <v>2Q2022</v>
      </c>
      <c r="D627" vm="1245">
        <f ca="1"/>
        <v>44851</v>
      </c>
      <c r="E627" vm="1246">
        <f ca="1"/>
        <v>11.888</v>
      </c>
      <c r="F627" s="3">
        <f t="shared" ca="1" si="64"/>
        <v>2.635596625150663E-2</v>
      </c>
      <c r="G627" s="3">
        <f t="shared" ca="1" si="65"/>
        <v>0.95821615106468461</v>
      </c>
      <c r="H627" s="3">
        <f t="shared" ca="1" si="66"/>
        <v>0.26934511852149456</v>
      </c>
      <c r="I627" s="3">
        <f t="shared" ca="1" si="67"/>
        <v>112.76384146341464</v>
      </c>
      <c r="J627" s="3">
        <f t="shared" ca="1" si="68"/>
        <v>3.1015966457023061</v>
      </c>
      <c r="K627" s="3">
        <f t="shared" ca="1" si="69"/>
        <v>11.034170644391409</v>
      </c>
    </row>
    <row r="628" spans="3:11" x14ac:dyDescent="0.35">
      <c r="C628" t="str">
        <f t="shared" ca="1" si="63"/>
        <v>2Q2022</v>
      </c>
      <c r="D628" vm="1247">
        <f ca="1"/>
        <v>44852</v>
      </c>
      <c r="E628" vm="1248">
        <f ca="1"/>
        <v>11.967000000000001</v>
      </c>
      <c r="F628" s="3">
        <f t="shared" ca="1" si="64"/>
        <v>2.635596625150663E-2</v>
      </c>
      <c r="G628" s="3">
        <f t="shared" ca="1" si="65"/>
        <v>0.95821615106468461</v>
      </c>
      <c r="H628" s="3">
        <f t="shared" ca="1" si="66"/>
        <v>0.26934511852149456</v>
      </c>
      <c r="I628" s="3">
        <f t="shared" ca="1" si="67"/>
        <v>113.51319740853658</v>
      </c>
      <c r="J628" s="3">
        <f t="shared" ca="1" si="68"/>
        <v>3.1222078616352205</v>
      </c>
      <c r="K628" s="3">
        <f t="shared" ca="1" si="69"/>
        <v>11.10749664379475</v>
      </c>
    </row>
    <row r="629" spans="3:11" x14ac:dyDescent="0.35">
      <c r="C629" t="str">
        <f t="shared" ca="1" si="63"/>
        <v>2Q2022</v>
      </c>
      <c r="D629" vm="1249">
        <f ca="1"/>
        <v>44853</v>
      </c>
      <c r="E629" vm="1250">
        <f ca="1"/>
        <v>12.051</v>
      </c>
      <c r="F629" s="3">
        <f t="shared" ca="1" si="64"/>
        <v>2.635596625150663E-2</v>
      </c>
      <c r="G629" s="3">
        <f t="shared" ca="1" si="65"/>
        <v>0.95821615106468461</v>
      </c>
      <c r="H629" s="3">
        <f t="shared" ca="1" si="66"/>
        <v>0.26934511852149456</v>
      </c>
      <c r="I629" s="3">
        <f t="shared" ca="1" si="67"/>
        <v>114.30998094512195</v>
      </c>
      <c r="J629" s="3">
        <f t="shared" ca="1" si="68"/>
        <v>3.1441235849056604</v>
      </c>
      <c r="K629" s="3">
        <f t="shared" ca="1" si="69"/>
        <v>11.185463529236278</v>
      </c>
    </row>
    <row r="630" spans="3:11" x14ac:dyDescent="0.35">
      <c r="C630" t="str">
        <f t="shared" ca="1" si="63"/>
        <v>2Q2022</v>
      </c>
      <c r="D630" vm="1251">
        <f ca="1"/>
        <v>44854</v>
      </c>
      <c r="E630" vm="1252">
        <f ca="1"/>
        <v>12.194000000000001</v>
      </c>
      <c r="F630" s="3">
        <f t="shared" ca="1" si="64"/>
        <v>2.635596625150663E-2</v>
      </c>
      <c r="G630" s="3">
        <f t="shared" ca="1" si="65"/>
        <v>0.95821615106468461</v>
      </c>
      <c r="H630" s="3">
        <f t="shared" ca="1" si="66"/>
        <v>0.26934511852149456</v>
      </c>
      <c r="I630" s="3">
        <f t="shared" ca="1" si="67"/>
        <v>115.66641006097562</v>
      </c>
      <c r="J630" s="3">
        <f t="shared" ca="1" si="68"/>
        <v>3.1814324947589099</v>
      </c>
      <c r="K630" s="3">
        <f t="shared" ca="1" si="69"/>
        <v>11.318192869928403</v>
      </c>
    </row>
    <row r="631" spans="3:11" x14ac:dyDescent="0.35">
      <c r="C631" t="str">
        <f t="shared" ca="1" si="63"/>
        <v>2Q2022</v>
      </c>
      <c r="D631" vm="1253">
        <f ca="1"/>
        <v>44855</v>
      </c>
      <c r="E631" vm="1254">
        <f ca="1"/>
        <v>12.465999999999999</v>
      </c>
      <c r="F631" s="3">
        <f t="shared" ca="1" si="64"/>
        <v>2.635596625150663E-2</v>
      </c>
      <c r="G631" s="3">
        <f t="shared" ca="1" si="65"/>
        <v>0.95821615106468461</v>
      </c>
      <c r="H631" s="3">
        <f t="shared" ca="1" si="66"/>
        <v>0.26934511852149456</v>
      </c>
      <c r="I631" s="3">
        <f t="shared" ca="1" si="67"/>
        <v>118.24647103658536</v>
      </c>
      <c r="J631" s="3">
        <f t="shared" ca="1" si="68"/>
        <v>3.2523976939203352</v>
      </c>
      <c r="K631" s="3">
        <f t="shared" ca="1" si="69"/>
        <v>11.570657070405728</v>
      </c>
    </row>
    <row r="632" spans="3:11" x14ac:dyDescent="0.35">
      <c r="C632" t="str">
        <f t="shared" ca="1" si="63"/>
        <v>2Q2022</v>
      </c>
      <c r="D632" vm="1255">
        <f ca="1"/>
        <v>44858</v>
      </c>
      <c r="E632" vm="1256">
        <f ca="1"/>
        <v>12.599</v>
      </c>
      <c r="F632" s="3">
        <f t="shared" ca="1" si="64"/>
        <v>2.635596625150663E-2</v>
      </c>
      <c r="G632" s="3">
        <f t="shared" ca="1" si="65"/>
        <v>0.95821615106468461</v>
      </c>
      <c r="H632" s="3">
        <f t="shared" ca="1" si="66"/>
        <v>0.26934511852149456</v>
      </c>
      <c r="I632" s="3">
        <f t="shared" ca="1" si="67"/>
        <v>119.5080449695122</v>
      </c>
      <c r="J632" s="3">
        <f t="shared" ca="1" si="68"/>
        <v>3.2870975890985328</v>
      </c>
      <c r="K632" s="3">
        <f t="shared" ca="1" si="69"/>
        <v>11.69410463902148</v>
      </c>
    </row>
    <row r="633" spans="3:11" x14ac:dyDescent="0.35">
      <c r="C633" t="str">
        <f t="shared" ca="1" si="63"/>
        <v>2Q2022</v>
      </c>
      <c r="D633" vm="1257">
        <f ca="1"/>
        <v>44859</v>
      </c>
      <c r="E633" vm="1210">
        <f ca="1"/>
        <v>13.260999999999999</v>
      </c>
      <c r="F633" s="3">
        <f t="shared" ca="1" si="64"/>
        <v>2.635596625150663E-2</v>
      </c>
      <c r="G633" s="3">
        <f t="shared" ca="1" si="65"/>
        <v>0.95821615106468461</v>
      </c>
      <c r="H633" s="3">
        <f t="shared" ca="1" si="66"/>
        <v>0.26934511852149456</v>
      </c>
      <c r="I633" s="3">
        <f t="shared" ca="1" si="67"/>
        <v>125.78745807926829</v>
      </c>
      <c r="J633" s="3">
        <f t="shared" ca="1" si="68"/>
        <v>3.4598143605870018</v>
      </c>
      <c r="K633" s="3">
        <f t="shared" ca="1" si="69"/>
        <v>12.308557950477327</v>
      </c>
    </row>
    <row r="634" spans="3:11" x14ac:dyDescent="0.35">
      <c r="C634" t="str">
        <f t="shared" ca="1" si="63"/>
        <v>2Q2022</v>
      </c>
      <c r="D634" vm="1258">
        <f ca="1"/>
        <v>44860</v>
      </c>
      <c r="E634" vm="1259">
        <f ca="1"/>
        <v>12.896000000000001</v>
      </c>
      <c r="F634" s="3">
        <f t="shared" ca="1" si="64"/>
        <v>2.635596625150663E-2</v>
      </c>
      <c r="G634" s="3">
        <f t="shared" ca="1" si="65"/>
        <v>0.95821615106468461</v>
      </c>
      <c r="H634" s="3">
        <f t="shared" ca="1" si="66"/>
        <v>0.26934511852149456</v>
      </c>
      <c r="I634" s="3">
        <f t="shared" ca="1" si="67"/>
        <v>122.32524390243903</v>
      </c>
      <c r="J634" s="3">
        <f t="shared" ca="1" si="68"/>
        <v>3.3645853249475892</v>
      </c>
      <c r="K634" s="3">
        <f t="shared" ca="1" si="69"/>
        <v>11.969773269689739</v>
      </c>
    </row>
    <row r="635" spans="3:11" x14ac:dyDescent="0.35">
      <c r="C635" t="str">
        <f t="shared" ca="1" si="63"/>
        <v>2Q2022</v>
      </c>
      <c r="D635" vm="1260">
        <f ca="1"/>
        <v>44861</v>
      </c>
      <c r="E635" vm="1208">
        <f ca="1"/>
        <v>13.176</v>
      </c>
      <c r="F635" s="3">
        <f t="shared" ca="1" si="64"/>
        <v>2.635596625150663E-2</v>
      </c>
      <c r="G635" s="3">
        <f t="shared" ca="1" si="65"/>
        <v>0.95821615106468461</v>
      </c>
      <c r="H635" s="3">
        <f t="shared" ca="1" si="66"/>
        <v>0.26934511852149456</v>
      </c>
      <c r="I635" s="3">
        <f t="shared" ca="1" si="67"/>
        <v>124.98118902439025</v>
      </c>
      <c r="J635" s="3">
        <f t="shared" ca="1" si="68"/>
        <v>3.4376377358490569</v>
      </c>
      <c r="K635" s="3">
        <f t="shared" ca="1" si="69"/>
        <v>12.229662887828162</v>
      </c>
    </row>
    <row r="636" spans="3:11" x14ac:dyDescent="0.35">
      <c r="C636" t="str">
        <f t="shared" ca="1" si="63"/>
        <v>2Q2022</v>
      </c>
      <c r="D636" vm="1261">
        <f ca="1"/>
        <v>44862</v>
      </c>
      <c r="E636" vm="1262">
        <f ca="1"/>
        <v>13.834</v>
      </c>
      <c r="F636" s="3">
        <f t="shared" ca="1" si="64"/>
        <v>2.635596625150663E-2</v>
      </c>
      <c r="G636" s="3">
        <f t="shared" ca="1" si="65"/>
        <v>0.95821615106468461</v>
      </c>
      <c r="H636" s="3">
        <f t="shared" ca="1" si="66"/>
        <v>0.26934511852149456</v>
      </c>
      <c r="I636" s="3">
        <f t="shared" ca="1" si="67"/>
        <v>131.22266006097561</v>
      </c>
      <c r="J636" s="3">
        <f t="shared" ca="1" si="68"/>
        <v>3.6093109014675053</v>
      </c>
      <c r="K636" s="3">
        <f t="shared" ca="1" si="69"/>
        <v>12.840403490453461</v>
      </c>
    </row>
    <row r="637" spans="3:11" x14ac:dyDescent="0.35">
      <c r="C637" t="str">
        <f t="shared" ca="1" si="63"/>
        <v>3Q2022</v>
      </c>
      <c r="D637" vm="1263">
        <f ca="1"/>
        <v>44865</v>
      </c>
      <c r="E637" vm="1264">
        <f ca="1"/>
        <v>13.497</v>
      </c>
      <c r="F637" s="3">
        <f t="shared" ca="1" si="64"/>
        <v>2.7552674230145867E-2</v>
      </c>
      <c r="G637" s="3">
        <f t="shared" ca="1" si="65"/>
        <v>0.86507293354943271</v>
      </c>
      <c r="H637" s="3">
        <f t="shared" ca="1" si="66"/>
        <v>0.2403160453808752</v>
      </c>
      <c r="I637" s="3">
        <f t="shared" ca="1" si="67"/>
        <v>122.46542647058824</v>
      </c>
      <c r="J637" s="3">
        <f t="shared" ca="1" si="68"/>
        <v>3.9005381733021078</v>
      </c>
      <c r="K637" s="3">
        <f t="shared" ca="1" si="69"/>
        <v>14.040885179564997</v>
      </c>
    </row>
    <row r="638" spans="3:11" x14ac:dyDescent="0.35">
      <c r="C638" t="str">
        <f t="shared" ca="1" si="63"/>
        <v>3Q2022</v>
      </c>
      <c r="D638" vm="1265">
        <f ca="1"/>
        <v>44866</v>
      </c>
      <c r="E638" vm="1266">
        <f ca="1"/>
        <v>13.542999999999999</v>
      </c>
      <c r="F638" s="3">
        <f t="shared" ca="1" si="64"/>
        <v>2.7552674230145867E-2</v>
      </c>
      <c r="G638" s="3">
        <f t="shared" ca="1" si="65"/>
        <v>0.86507293354943271</v>
      </c>
      <c r="H638" s="3">
        <f t="shared" ca="1" si="66"/>
        <v>0.2403160453808752</v>
      </c>
      <c r="I638" s="3">
        <f t="shared" ca="1" si="67"/>
        <v>122.8828088235294</v>
      </c>
      <c r="J638" s="3">
        <f t="shared" ca="1" si="68"/>
        <v>3.9138318501170959</v>
      </c>
      <c r="K638" s="3">
        <f t="shared" ca="1" si="69"/>
        <v>14.088738829876917</v>
      </c>
    </row>
    <row r="639" spans="3:11" x14ac:dyDescent="0.35">
      <c r="C639" t="str">
        <f t="shared" ca="1" si="63"/>
        <v>3Q2022</v>
      </c>
      <c r="D639" vm="1267">
        <f ca="1"/>
        <v>44867</v>
      </c>
      <c r="E639" vm="1268">
        <f ca="1"/>
        <v>13.218999999999999</v>
      </c>
      <c r="F639" s="3">
        <f t="shared" ca="1" si="64"/>
        <v>2.7552674230145867E-2</v>
      </c>
      <c r="G639" s="3">
        <f t="shared" ca="1" si="65"/>
        <v>0.86507293354943271</v>
      </c>
      <c r="H639" s="3">
        <f t="shared" ca="1" si="66"/>
        <v>0.2403160453808752</v>
      </c>
      <c r="I639" s="3">
        <f t="shared" ca="1" si="67"/>
        <v>119.94298529411765</v>
      </c>
      <c r="J639" s="3">
        <f t="shared" ca="1" si="68"/>
        <v>3.8201981264637004</v>
      </c>
      <c r="K639" s="3">
        <f t="shared" ca="1" si="69"/>
        <v>13.751682684201652</v>
      </c>
    </row>
    <row r="640" spans="3:11" x14ac:dyDescent="0.35">
      <c r="C640" t="str">
        <f t="shared" ca="1" si="63"/>
        <v>3Q2022</v>
      </c>
      <c r="D640" vm="1269">
        <f ca="1"/>
        <v>44868</v>
      </c>
      <c r="E640" vm="1270">
        <f ca="1"/>
        <v>13.420999999999999</v>
      </c>
      <c r="F640" s="3">
        <f t="shared" ca="1" si="64"/>
        <v>2.7552674230145867E-2</v>
      </c>
      <c r="G640" s="3">
        <f t="shared" ca="1" si="65"/>
        <v>0.86507293354943271</v>
      </c>
      <c r="H640" s="3">
        <f t="shared" ca="1" si="66"/>
        <v>0.2403160453808752</v>
      </c>
      <c r="I640" s="3">
        <f t="shared" ca="1" si="67"/>
        <v>121.77583823529412</v>
      </c>
      <c r="J640" s="3">
        <f t="shared" ca="1" si="68"/>
        <v>3.8785747072599532</v>
      </c>
      <c r="K640" s="3">
        <f t="shared" ca="1" si="69"/>
        <v>13.961822626875737</v>
      </c>
    </row>
    <row r="641" spans="3:11" x14ac:dyDescent="0.35">
      <c r="C641" t="str">
        <f t="shared" ca="1" si="63"/>
        <v>3Q2022</v>
      </c>
      <c r="D641" vm="1271">
        <f ca="1"/>
        <v>44869</v>
      </c>
      <c r="E641" vm="1272">
        <f ca="1"/>
        <v>14.156000000000001</v>
      </c>
      <c r="F641" s="3">
        <f t="shared" ca="1" si="64"/>
        <v>2.7552674230145867E-2</v>
      </c>
      <c r="G641" s="3">
        <f t="shared" ca="1" si="65"/>
        <v>0.86507293354943271</v>
      </c>
      <c r="H641" s="3">
        <f t="shared" ca="1" si="66"/>
        <v>0.2403160453808752</v>
      </c>
      <c r="I641" s="3">
        <f t="shared" ca="1" si="67"/>
        <v>128.44488235294119</v>
      </c>
      <c r="J641" s="3">
        <f t="shared" ca="1" si="68"/>
        <v>4.0909845433255274</v>
      </c>
      <c r="K641" s="3">
        <f t="shared" ca="1" si="69"/>
        <v>14.726440735120553</v>
      </c>
    </row>
    <row r="642" spans="3:11" x14ac:dyDescent="0.35">
      <c r="C642" t="str">
        <f t="shared" ca="1" si="63"/>
        <v>3Q2022</v>
      </c>
      <c r="D642" vm="1273">
        <f ca="1"/>
        <v>44872</v>
      </c>
      <c r="E642" vm="1274">
        <f ca="1"/>
        <v>14.301</v>
      </c>
      <c r="F642" s="3">
        <f t="shared" ca="1" si="64"/>
        <v>2.7552674230145867E-2</v>
      </c>
      <c r="G642" s="3">
        <f t="shared" ca="1" si="65"/>
        <v>0.86507293354943271</v>
      </c>
      <c r="H642" s="3">
        <f t="shared" ca="1" si="66"/>
        <v>0.2403160453808752</v>
      </c>
      <c r="I642" s="3">
        <f t="shared" ca="1" si="67"/>
        <v>129.76054411764707</v>
      </c>
      <c r="J642" s="3">
        <f t="shared" ca="1" si="68"/>
        <v>4.1328885245901645</v>
      </c>
      <c r="K642" s="3">
        <f t="shared" ca="1" si="69"/>
        <v>14.877283763277694</v>
      </c>
    </row>
    <row r="643" spans="3:11" x14ac:dyDescent="0.35">
      <c r="C643" t="str">
        <f t="shared" ref="C643:C706" ca="1" si="70">LOOKUP(D643,$N$2:$N$27,$M$2:$M$27)</f>
        <v>3Q2022</v>
      </c>
      <c r="D643" vm="1275">
        <f ca="1"/>
        <v>44873</v>
      </c>
      <c r="E643" vm="1276">
        <f ca="1"/>
        <v>14.602</v>
      </c>
      <c r="F643" s="3">
        <f t="shared" ca="1" si="64"/>
        <v>2.7552674230145867E-2</v>
      </c>
      <c r="G643" s="3">
        <f t="shared" ca="1" si="65"/>
        <v>0.86507293354943271</v>
      </c>
      <c r="H643" s="3">
        <f t="shared" ca="1" si="66"/>
        <v>0.2403160453808752</v>
      </c>
      <c r="I643" s="3">
        <f t="shared" ca="1" si="67"/>
        <v>132.49167647058823</v>
      </c>
      <c r="J643" s="3">
        <f t="shared" ca="1" si="68"/>
        <v>4.2198754098360656</v>
      </c>
      <c r="K643" s="3">
        <f t="shared" ca="1" si="69"/>
        <v>15.190413083796999</v>
      </c>
    </row>
    <row r="644" spans="3:11" x14ac:dyDescent="0.35">
      <c r="C644" t="str">
        <f t="shared" ca="1" si="70"/>
        <v>3Q2022</v>
      </c>
      <c r="D644" vm="1277">
        <f ca="1"/>
        <v>44874</v>
      </c>
      <c r="E644" vm="1278">
        <f ca="1"/>
        <v>13.776</v>
      </c>
      <c r="F644" s="3">
        <f t="shared" ref="F644:F707" ca="1" si="71">VLOOKUP($C644,$M$2:$R$27,4,0)/VLOOKUP($C644,$M$2:$R$27,3,0)</f>
        <v>2.7552674230145867E-2</v>
      </c>
      <c r="G644" s="3">
        <f t="shared" ref="G644:G707" ca="1" si="72">VLOOKUP($C644,$M$2:$R$27,6,0)/VLOOKUP($C644,$M$2:$R$27,3,0)</f>
        <v>0.86507293354943271</v>
      </c>
      <c r="H644" s="3">
        <f t="shared" ref="H644:H707" ca="1" si="73">VLOOKUP($C644,$M$2:$R$27,5,0)/VLOOKUP($C644,$M$2:$R$27,3,0)</f>
        <v>0.2403160453808752</v>
      </c>
      <c r="I644" s="3">
        <f t="shared" ref="I644:I707" ca="1" si="74">$E644/(F644*4)</f>
        <v>124.99694117647059</v>
      </c>
      <c r="J644" s="3">
        <f t="shared" ref="J644:J707" ca="1" si="75">$E644/(G644*4)</f>
        <v>3.981167213114754</v>
      </c>
      <c r="K644" s="3">
        <f t="shared" ref="K644:K707" ca="1" si="76">$E644/(H644*4)</f>
        <v>14.331127971674254</v>
      </c>
    </row>
    <row r="645" spans="3:11" x14ac:dyDescent="0.35">
      <c r="C645" t="str">
        <f t="shared" ca="1" si="70"/>
        <v>3Q2022</v>
      </c>
      <c r="D645" vm="1279">
        <f ca="1"/>
        <v>44875</v>
      </c>
      <c r="E645" vm="1280">
        <f ca="1"/>
        <v>15.75</v>
      </c>
      <c r="F645" s="3">
        <f t="shared" ca="1" si="71"/>
        <v>2.7552674230145867E-2</v>
      </c>
      <c r="G645" s="3">
        <f t="shared" ca="1" si="72"/>
        <v>0.86507293354943271</v>
      </c>
      <c r="H645" s="3">
        <f t="shared" ca="1" si="73"/>
        <v>0.2403160453808752</v>
      </c>
      <c r="I645" s="3">
        <f t="shared" ca="1" si="74"/>
        <v>142.90808823529412</v>
      </c>
      <c r="J645" s="3">
        <f t="shared" ca="1" si="75"/>
        <v>4.5516393442622949</v>
      </c>
      <c r="K645" s="3">
        <f t="shared" ca="1" si="76"/>
        <v>16.384673748103186</v>
      </c>
    </row>
    <row r="646" spans="3:11" x14ac:dyDescent="0.35">
      <c r="C646" t="str">
        <f t="shared" ca="1" si="70"/>
        <v>3Q2022</v>
      </c>
      <c r="D646" vm="1281">
        <f ca="1"/>
        <v>44876</v>
      </c>
      <c r="E646" vm="1282">
        <f ca="1"/>
        <v>16.327000000000002</v>
      </c>
      <c r="F646" s="3">
        <f t="shared" ca="1" si="71"/>
        <v>2.7552674230145867E-2</v>
      </c>
      <c r="G646" s="3">
        <f t="shared" ca="1" si="72"/>
        <v>0.86507293354943271</v>
      </c>
      <c r="H646" s="3">
        <f t="shared" ca="1" si="73"/>
        <v>0.2403160453808752</v>
      </c>
      <c r="I646" s="3">
        <f t="shared" ca="1" si="74"/>
        <v>148.14351470588238</v>
      </c>
      <c r="J646" s="3">
        <f t="shared" ca="1" si="75"/>
        <v>4.7183882903981269</v>
      </c>
      <c r="K646" s="3">
        <f t="shared" ca="1" si="76"/>
        <v>16.984924970494017</v>
      </c>
    </row>
    <row r="647" spans="3:11" x14ac:dyDescent="0.35">
      <c r="C647" t="str">
        <f t="shared" ca="1" si="70"/>
        <v>3Q2022</v>
      </c>
      <c r="D647" vm="1283">
        <f ca="1"/>
        <v>44879</v>
      </c>
      <c r="E647" vm="1284">
        <f ca="1"/>
        <v>16.295000000000002</v>
      </c>
      <c r="F647" s="3">
        <f t="shared" ca="1" si="71"/>
        <v>2.7552674230145867E-2</v>
      </c>
      <c r="G647" s="3">
        <f t="shared" ca="1" si="72"/>
        <v>0.86507293354943271</v>
      </c>
      <c r="H647" s="3">
        <f t="shared" ca="1" si="73"/>
        <v>0.2403160453808752</v>
      </c>
      <c r="I647" s="3">
        <f t="shared" ca="1" si="74"/>
        <v>147.8531617647059</v>
      </c>
      <c r="J647" s="3">
        <f t="shared" ca="1" si="75"/>
        <v>4.709140515222483</v>
      </c>
      <c r="K647" s="3">
        <f t="shared" ca="1" si="76"/>
        <v>16.951635474624855</v>
      </c>
    </row>
    <row r="648" spans="3:11" x14ac:dyDescent="0.35">
      <c r="C648" t="str">
        <f t="shared" ca="1" si="70"/>
        <v>3Q2022</v>
      </c>
      <c r="D648" vm="1285">
        <f ca="1"/>
        <v>44880</v>
      </c>
      <c r="E648" vm="1286">
        <f ca="1"/>
        <v>16.666</v>
      </c>
      <c r="F648" s="3">
        <f t="shared" ca="1" si="71"/>
        <v>2.7552674230145867E-2</v>
      </c>
      <c r="G648" s="3">
        <f t="shared" ca="1" si="72"/>
        <v>0.86507293354943271</v>
      </c>
      <c r="H648" s="3">
        <f t="shared" ca="1" si="73"/>
        <v>0.2403160453808752</v>
      </c>
      <c r="I648" s="3">
        <f t="shared" ca="1" si="74"/>
        <v>151.21944117647058</v>
      </c>
      <c r="J648" s="3">
        <f t="shared" ca="1" si="75"/>
        <v>4.8163569086651057</v>
      </c>
      <c r="K648" s="3">
        <f t="shared" ca="1" si="76"/>
        <v>17.337585567357952</v>
      </c>
    </row>
    <row r="649" spans="3:11" x14ac:dyDescent="0.35">
      <c r="C649" t="str">
        <f t="shared" ca="1" si="70"/>
        <v>3Q2022</v>
      </c>
      <c r="D649" vm="1287">
        <f ca="1"/>
        <v>44881</v>
      </c>
      <c r="E649" vm="1288">
        <f ca="1"/>
        <v>15.91</v>
      </c>
      <c r="F649" s="3">
        <f t="shared" ca="1" si="71"/>
        <v>2.7552674230145867E-2</v>
      </c>
      <c r="G649" s="3">
        <f t="shared" ca="1" si="72"/>
        <v>0.86507293354943271</v>
      </c>
      <c r="H649" s="3">
        <f t="shared" ca="1" si="73"/>
        <v>0.2403160453808752</v>
      </c>
      <c r="I649" s="3">
        <f t="shared" ca="1" si="74"/>
        <v>144.35985294117648</v>
      </c>
      <c r="J649" s="3">
        <f t="shared" ca="1" si="75"/>
        <v>4.5978782201405153</v>
      </c>
      <c r="K649" s="3">
        <f t="shared" ca="1" si="76"/>
        <v>16.551121227448998</v>
      </c>
    </row>
    <row r="650" spans="3:11" x14ac:dyDescent="0.35">
      <c r="C650" t="str">
        <f t="shared" ca="1" si="70"/>
        <v>3Q2022</v>
      </c>
      <c r="D650" vm="1289">
        <f ca="1"/>
        <v>44882</v>
      </c>
      <c r="E650" vm="1290">
        <f ca="1"/>
        <v>15.677</v>
      </c>
      <c r="F650" s="3">
        <f t="shared" ca="1" si="71"/>
        <v>2.7552674230145867E-2</v>
      </c>
      <c r="G650" s="3">
        <f t="shared" ca="1" si="72"/>
        <v>0.86507293354943271</v>
      </c>
      <c r="H650" s="3">
        <f t="shared" ca="1" si="73"/>
        <v>0.2403160453808752</v>
      </c>
      <c r="I650" s="3">
        <f t="shared" ca="1" si="74"/>
        <v>142.24572058823529</v>
      </c>
      <c r="J650" s="3">
        <f t="shared" ca="1" si="75"/>
        <v>4.5305428571428568</v>
      </c>
      <c r="K650" s="3">
        <f t="shared" ca="1" si="76"/>
        <v>16.308732085651659</v>
      </c>
    </row>
    <row r="651" spans="3:11" x14ac:dyDescent="0.35">
      <c r="C651" t="str">
        <f t="shared" ca="1" si="70"/>
        <v>3Q2022</v>
      </c>
      <c r="D651" vm="1291">
        <f ca="1"/>
        <v>44883</v>
      </c>
      <c r="E651" vm="1292">
        <f ca="1"/>
        <v>15.409000000000001</v>
      </c>
      <c r="F651" s="3">
        <f t="shared" ca="1" si="71"/>
        <v>2.7552674230145867E-2</v>
      </c>
      <c r="G651" s="3">
        <f t="shared" ca="1" si="72"/>
        <v>0.86507293354943271</v>
      </c>
      <c r="H651" s="3">
        <f t="shared" ca="1" si="73"/>
        <v>0.2403160453808752</v>
      </c>
      <c r="I651" s="3">
        <f t="shared" ca="1" si="74"/>
        <v>139.81401470588236</v>
      </c>
      <c r="J651" s="3">
        <f t="shared" ca="1" si="75"/>
        <v>4.4530927400468387</v>
      </c>
      <c r="K651" s="3">
        <f t="shared" ca="1" si="76"/>
        <v>16.029932557747429</v>
      </c>
    </row>
    <row r="652" spans="3:11" x14ac:dyDescent="0.35">
      <c r="C652" t="str">
        <f t="shared" ca="1" si="70"/>
        <v>3Q2022</v>
      </c>
      <c r="D652" vm="1293">
        <f ca="1"/>
        <v>44886</v>
      </c>
      <c r="E652" vm="1294">
        <f ca="1"/>
        <v>15.317</v>
      </c>
      <c r="F652" s="3">
        <f t="shared" ca="1" si="71"/>
        <v>2.7552674230145867E-2</v>
      </c>
      <c r="G652" s="3">
        <f t="shared" ca="1" si="72"/>
        <v>0.86507293354943271</v>
      </c>
      <c r="H652" s="3">
        <f t="shared" ca="1" si="73"/>
        <v>0.2403160453808752</v>
      </c>
      <c r="I652" s="3">
        <f t="shared" ca="1" si="74"/>
        <v>138.97925000000001</v>
      </c>
      <c r="J652" s="3">
        <f t="shared" ca="1" si="75"/>
        <v>4.4265053864168618</v>
      </c>
      <c r="K652" s="3">
        <f t="shared" ca="1" si="76"/>
        <v>15.934225257123588</v>
      </c>
    </row>
    <row r="653" spans="3:11" x14ac:dyDescent="0.35">
      <c r="C653" t="str">
        <f t="shared" ca="1" si="70"/>
        <v>3Q2022</v>
      </c>
      <c r="D653" vm="1295">
        <f ca="1"/>
        <v>44887</v>
      </c>
      <c r="E653" vm="1296">
        <f ca="1"/>
        <v>16.038</v>
      </c>
      <c r="F653" s="3">
        <f t="shared" ca="1" si="71"/>
        <v>2.7552674230145867E-2</v>
      </c>
      <c r="G653" s="3">
        <f t="shared" ca="1" si="72"/>
        <v>0.86507293354943271</v>
      </c>
      <c r="H653" s="3">
        <f t="shared" ca="1" si="73"/>
        <v>0.2403160453808752</v>
      </c>
      <c r="I653" s="3">
        <f t="shared" ca="1" si="74"/>
        <v>145.52126470588234</v>
      </c>
      <c r="J653" s="3">
        <f t="shared" ca="1" si="75"/>
        <v>4.6348693208430918</v>
      </c>
      <c r="K653" s="3">
        <f t="shared" ca="1" si="76"/>
        <v>16.684279210925645</v>
      </c>
    </row>
    <row r="654" spans="3:11" x14ac:dyDescent="0.35">
      <c r="C654" t="str">
        <f t="shared" ca="1" si="70"/>
        <v>3Q2022</v>
      </c>
      <c r="D654" vm="1297">
        <f ca="1"/>
        <v>44888</v>
      </c>
      <c r="E654" vm="1298">
        <f ca="1"/>
        <v>16.518999999999998</v>
      </c>
      <c r="F654" s="3">
        <f t="shared" ca="1" si="71"/>
        <v>2.7552674230145867E-2</v>
      </c>
      <c r="G654" s="3">
        <f t="shared" ca="1" si="72"/>
        <v>0.86507293354943271</v>
      </c>
      <c r="H654" s="3">
        <f t="shared" ca="1" si="73"/>
        <v>0.2403160453808752</v>
      </c>
      <c r="I654" s="3">
        <f t="shared" ca="1" si="74"/>
        <v>149.88563235294117</v>
      </c>
      <c r="J654" s="3">
        <f t="shared" ca="1" si="75"/>
        <v>4.7738749414519903</v>
      </c>
      <c r="K654" s="3">
        <f t="shared" ca="1" si="76"/>
        <v>17.184661945708985</v>
      </c>
    </row>
    <row r="655" spans="3:11" x14ac:dyDescent="0.35">
      <c r="C655" t="str">
        <f t="shared" ca="1" si="70"/>
        <v>3Q2022</v>
      </c>
      <c r="D655" vm="1299">
        <f ca="1"/>
        <v>44890</v>
      </c>
      <c r="E655" vm="1300">
        <f ca="1"/>
        <v>16.27</v>
      </c>
      <c r="F655" s="3">
        <f t="shared" ca="1" si="71"/>
        <v>2.7552674230145867E-2</v>
      </c>
      <c r="G655" s="3">
        <f t="shared" ca="1" si="72"/>
        <v>0.86507293354943271</v>
      </c>
      <c r="H655" s="3">
        <f t="shared" ca="1" si="73"/>
        <v>0.2403160453808752</v>
      </c>
      <c r="I655" s="3">
        <f t="shared" ca="1" si="74"/>
        <v>147.62632352941176</v>
      </c>
      <c r="J655" s="3">
        <f t="shared" ca="1" si="75"/>
        <v>4.7019156908665103</v>
      </c>
      <c r="K655" s="3">
        <f t="shared" ca="1" si="76"/>
        <v>16.925628055977068</v>
      </c>
    </row>
    <row r="656" spans="3:11" x14ac:dyDescent="0.35">
      <c r="C656" t="str">
        <f t="shared" ca="1" si="70"/>
        <v>3Q2022</v>
      </c>
      <c r="D656" vm="1301">
        <f ca="1"/>
        <v>44893</v>
      </c>
      <c r="E656" vm="1302">
        <f ca="1"/>
        <v>15.827</v>
      </c>
      <c r="F656" s="3">
        <f t="shared" ca="1" si="71"/>
        <v>2.7552674230145867E-2</v>
      </c>
      <c r="G656" s="3">
        <f t="shared" ca="1" si="72"/>
        <v>0.86507293354943271</v>
      </c>
      <c r="H656" s="3">
        <f t="shared" ca="1" si="73"/>
        <v>0.2403160453808752</v>
      </c>
      <c r="I656" s="3">
        <f t="shared" ca="1" si="74"/>
        <v>143.60675000000001</v>
      </c>
      <c r="J656" s="3">
        <f t="shared" ca="1" si="75"/>
        <v>4.5738918032786886</v>
      </c>
      <c r="K656" s="3">
        <f t="shared" ca="1" si="76"/>
        <v>16.464776597538357</v>
      </c>
    </row>
    <row r="657" spans="3:11" x14ac:dyDescent="0.35">
      <c r="C657" t="str">
        <f t="shared" ca="1" si="70"/>
        <v>3Q2022</v>
      </c>
      <c r="D657" vm="1303">
        <f ca="1"/>
        <v>44894</v>
      </c>
      <c r="E657" vm="1304">
        <f ca="1"/>
        <v>15.638999999999999</v>
      </c>
      <c r="F657" s="3">
        <f t="shared" ca="1" si="71"/>
        <v>2.7552674230145867E-2</v>
      </c>
      <c r="G657" s="3">
        <f t="shared" ca="1" si="72"/>
        <v>0.86507293354943271</v>
      </c>
      <c r="H657" s="3">
        <f t="shared" ca="1" si="73"/>
        <v>0.2403160453808752</v>
      </c>
      <c r="I657" s="3">
        <f t="shared" ca="1" si="74"/>
        <v>141.90092647058822</v>
      </c>
      <c r="J657" s="3">
        <f t="shared" ca="1" si="75"/>
        <v>4.5195611241217799</v>
      </c>
      <c r="K657" s="3">
        <f t="shared" ca="1" si="76"/>
        <v>16.26920080930703</v>
      </c>
    </row>
    <row r="658" spans="3:11" x14ac:dyDescent="0.35">
      <c r="C658" t="str">
        <f t="shared" ca="1" si="70"/>
        <v>3Q2022</v>
      </c>
      <c r="D658" vm="1305">
        <f ca="1"/>
        <v>44895</v>
      </c>
      <c r="E658" vm="1306">
        <f ca="1"/>
        <v>16.922999999999998</v>
      </c>
      <c r="F658" s="3">
        <f t="shared" ca="1" si="71"/>
        <v>2.7552674230145867E-2</v>
      </c>
      <c r="G658" s="3">
        <f t="shared" ca="1" si="72"/>
        <v>0.86507293354943271</v>
      </c>
      <c r="H658" s="3">
        <f t="shared" ca="1" si="73"/>
        <v>0.2403160453808752</v>
      </c>
      <c r="I658" s="3">
        <f t="shared" ca="1" si="74"/>
        <v>153.55133823529411</v>
      </c>
      <c r="J658" s="3">
        <f t="shared" ca="1" si="75"/>
        <v>4.890628103044496</v>
      </c>
      <c r="K658" s="3">
        <f t="shared" ca="1" si="76"/>
        <v>17.604941831057157</v>
      </c>
    </row>
    <row r="659" spans="3:11" x14ac:dyDescent="0.35">
      <c r="C659" t="str">
        <f t="shared" ca="1" si="70"/>
        <v>3Q2022</v>
      </c>
      <c r="D659" vm="1307">
        <f ca="1"/>
        <v>44896</v>
      </c>
      <c r="E659" vm="1308">
        <f ca="1"/>
        <v>17.135000000000002</v>
      </c>
      <c r="F659" s="3">
        <f t="shared" ca="1" si="71"/>
        <v>2.7552674230145867E-2</v>
      </c>
      <c r="G659" s="3">
        <f t="shared" ca="1" si="72"/>
        <v>0.86507293354943271</v>
      </c>
      <c r="H659" s="3">
        <f t="shared" ca="1" si="73"/>
        <v>0.2403160453808752</v>
      </c>
      <c r="I659" s="3">
        <f t="shared" ca="1" si="74"/>
        <v>155.47492647058826</v>
      </c>
      <c r="J659" s="3">
        <f t="shared" ca="1" si="75"/>
        <v>4.9518946135831392</v>
      </c>
      <c r="K659" s="3">
        <f t="shared" ca="1" si="76"/>
        <v>17.825484741190358</v>
      </c>
    </row>
    <row r="660" spans="3:11" x14ac:dyDescent="0.35">
      <c r="C660" t="str">
        <f t="shared" ca="1" si="70"/>
        <v>3Q2022</v>
      </c>
      <c r="D660" vm="1309">
        <f ca="1"/>
        <v>44897</v>
      </c>
      <c r="E660" vm="1310">
        <f ca="1"/>
        <v>16.876000000000001</v>
      </c>
      <c r="F660" s="3">
        <f t="shared" ca="1" si="71"/>
        <v>2.7552674230145867E-2</v>
      </c>
      <c r="G660" s="3">
        <f t="shared" ca="1" si="72"/>
        <v>0.86507293354943271</v>
      </c>
      <c r="H660" s="3">
        <f t="shared" ca="1" si="73"/>
        <v>0.2403160453808752</v>
      </c>
      <c r="I660" s="3">
        <f t="shared" ca="1" si="74"/>
        <v>153.1248823529412</v>
      </c>
      <c r="J660" s="3">
        <f t="shared" ca="1" si="75"/>
        <v>4.8770454332552697</v>
      </c>
      <c r="K660" s="3">
        <f t="shared" ca="1" si="76"/>
        <v>17.556047883999327</v>
      </c>
    </row>
    <row r="661" spans="3:11" x14ac:dyDescent="0.35">
      <c r="C661" t="str">
        <f t="shared" ca="1" si="70"/>
        <v>3Q2022</v>
      </c>
      <c r="D661" vm="1311">
        <f ca="1"/>
        <v>44900</v>
      </c>
      <c r="E661" vm="1312">
        <f ca="1"/>
        <v>16.61</v>
      </c>
      <c r="F661" s="3">
        <f t="shared" ca="1" si="71"/>
        <v>2.7552674230145867E-2</v>
      </c>
      <c r="G661" s="3">
        <f t="shared" ca="1" si="72"/>
        <v>0.86507293354943271</v>
      </c>
      <c r="H661" s="3">
        <f t="shared" ca="1" si="73"/>
        <v>0.2403160453808752</v>
      </c>
      <c r="I661" s="3">
        <f t="shared" ca="1" si="74"/>
        <v>150.71132352941177</v>
      </c>
      <c r="J661" s="3">
        <f t="shared" ca="1" si="75"/>
        <v>4.8001733021077282</v>
      </c>
      <c r="K661" s="3">
        <f t="shared" ca="1" si="76"/>
        <v>17.279328949586915</v>
      </c>
    </row>
    <row r="662" spans="3:11" x14ac:dyDescent="0.35">
      <c r="C662" t="str">
        <f t="shared" ca="1" si="70"/>
        <v>3Q2022</v>
      </c>
      <c r="D662" vm="1313">
        <f ca="1"/>
        <v>44901</v>
      </c>
      <c r="E662" vm="1314">
        <f ca="1"/>
        <v>15.987</v>
      </c>
      <c r="F662" s="3">
        <f t="shared" ca="1" si="71"/>
        <v>2.7552674230145867E-2</v>
      </c>
      <c r="G662" s="3">
        <f t="shared" ca="1" si="72"/>
        <v>0.86507293354943271</v>
      </c>
      <c r="H662" s="3">
        <f t="shared" ca="1" si="73"/>
        <v>0.2403160453808752</v>
      </c>
      <c r="I662" s="3">
        <f t="shared" ca="1" si="74"/>
        <v>145.05851470588235</v>
      </c>
      <c r="J662" s="3">
        <f t="shared" ca="1" si="75"/>
        <v>4.620130679156909</v>
      </c>
      <c r="K662" s="3">
        <f t="shared" ca="1" si="76"/>
        <v>16.63122407688417</v>
      </c>
    </row>
    <row r="663" spans="3:11" x14ac:dyDescent="0.35">
      <c r="C663" t="str">
        <f t="shared" ca="1" si="70"/>
        <v>3Q2022</v>
      </c>
      <c r="D663" vm="1315">
        <f ca="1"/>
        <v>44902</v>
      </c>
      <c r="E663" vm="1316">
        <f ca="1"/>
        <v>16.12</v>
      </c>
      <c r="F663" s="3">
        <f t="shared" ca="1" si="71"/>
        <v>2.7552674230145867E-2</v>
      </c>
      <c r="G663" s="3">
        <f t="shared" ca="1" si="72"/>
        <v>0.86507293354943271</v>
      </c>
      <c r="H663" s="3">
        <f t="shared" ca="1" si="73"/>
        <v>0.2403160453808752</v>
      </c>
      <c r="I663" s="3">
        <f t="shared" ca="1" si="74"/>
        <v>146.26529411764707</v>
      </c>
      <c r="J663" s="3">
        <f t="shared" ca="1" si="75"/>
        <v>4.6585667447306793</v>
      </c>
      <c r="K663" s="3">
        <f t="shared" ca="1" si="76"/>
        <v>16.769583544090374</v>
      </c>
    </row>
    <row r="664" spans="3:11" x14ac:dyDescent="0.35">
      <c r="C664" t="str">
        <f t="shared" ca="1" si="70"/>
        <v>3Q2022</v>
      </c>
      <c r="D664" vm="1317">
        <f ca="1"/>
        <v>44903</v>
      </c>
      <c r="E664" vm="1318">
        <f ca="1"/>
        <v>17.169</v>
      </c>
      <c r="F664" s="3">
        <f t="shared" ca="1" si="71"/>
        <v>2.7552674230145867E-2</v>
      </c>
      <c r="G664" s="3">
        <f t="shared" ca="1" si="72"/>
        <v>0.86507293354943271</v>
      </c>
      <c r="H664" s="3">
        <f t="shared" ca="1" si="73"/>
        <v>0.2403160453808752</v>
      </c>
      <c r="I664" s="3">
        <f t="shared" ca="1" si="74"/>
        <v>155.78342647058824</v>
      </c>
      <c r="J664" s="3">
        <f t="shared" ca="1" si="75"/>
        <v>4.9617203747072605</v>
      </c>
      <c r="K664" s="3">
        <f t="shared" ca="1" si="76"/>
        <v>17.860854830551339</v>
      </c>
    </row>
    <row r="665" spans="3:11" x14ac:dyDescent="0.35">
      <c r="C665" t="str">
        <f t="shared" ca="1" si="70"/>
        <v>3Q2022</v>
      </c>
      <c r="D665" vm="1319">
        <f ca="1"/>
        <v>44904</v>
      </c>
      <c r="E665" vm="1320">
        <f ca="1"/>
        <v>17.001000000000001</v>
      </c>
      <c r="F665" s="3">
        <f t="shared" ca="1" si="71"/>
        <v>2.7552674230145867E-2</v>
      </c>
      <c r="G665" s="3">
        <f t="shared" ca="1" si="72"/>
        <v>0.86507293354943271</v>
      </c>
      <c r="H665" s="3">
        <f t="shared" ca="1" si="73"/>
        <v>0.2403160453808752</v>
      </c>
      <c r="I665" s="3">
        <f t="shared" ca="1" si="74"/>
        <v>154.25907352941178</v>
      </c>
      <c r="J665" s="3">
        <f t="shared" ca="1" si="75"/>
        <v>4.9131695550351298</v>
      </c>
      <c r="K665" s="3">
        <f t="shared" ca="1" si="76"/>
        <v>17.686084977238242</v>
      </c>
    </row>
    <row r="666" spans="3:11" x14ac:dyDescent="0.35">
      <c r="C666" t="str">
        <f t="shared" ca="1" si="70"/>
        <v>3Q2022</v>
      </c>
      <c r="D666" vm="1321">
        <f ca="1"/>
        <v>44907</v>
      </c>
      <c r="E666" vm="1322">
        <f ca="1"/>
        <v>17.535</v>
      </c>
      <c r="F666" s="3">
        <f t="shared" ca="1" si="71"/>
        <v>2.7552674230145867E-2</v>
      </c>
      <c r="G666" s="3">
        <f t="shared" ca="1" si="72"/>
        <v>0.86507293354943271</v>
      </c>
      <c r="H666" s="3">
        <f t="shared" ca="1" si="73"/>
        <v>0.2403160453808752</v>
      </c>
      <c r="I666" s="3">
        <f t="shared" ca="1" si="74"/>
        <v>159.10433823529411</v>
      </c>
      <c r="J666" s="3">
        <f t="shared" ca="1" si="75"/>
        <v>5.0674918032786884</v>
      </c>
      <c r="K666" s="3">
        <f t="shared" ca="1" si="76"/>
        <v>18.241603439554883</v>
      </c>
    </row>
    <row r="667" spans="3:11" x14ac:dyDescent="0.35">
      <c r="C667" t="str">
        <f t="shared" ca="1" si="70"/>
        <v>3Q2022</v>
      </c>
      <c r="D667" vm="1323">
        <f ca="1"/>
        <v>44908</v>
      </c>
      <c r="E667" vm="1324">
        <f ca="1"/>
        <v>18.071999999999999</v>
      </c>
      <c r="F667" s="3">
        <f t="shared" ca="1" si="71"/>
        <v>2.7552674230145867E-2</v>
      </c>
      <c r="G667" s="3">
        <f t="shared" ca="1" si="72"/>
        <v>0.86507293354943271</v>
      </c>
      <c r="H667" s="3">
        <f t="shared" ca="1" si="73"/>
        <v>0.2403160453808752</v>
      </c>
      <c r="I667" s="3">
        <f t="shared" ca="1" si="74"/>
        <v>163.97682352941175</v>
      </c>
      <c r="J667" s="3">
        <f t="shared" ca="1" si="75"/>
        <v>5.2226810304449645</v>
      </c>
      <c r="K667" s="3">
        <f t="shared" ca="1" si="76"/>
        <v>18.800242792109255</v>
      </c>
    </row>
    <row r="668" spans="3:11" x14ac:dyDescent="0.35">
      <c r="C668" t="str">
        <f t="shared" ca="1" si="70"/>
        <v>3Q2022</v>
      </c>
      <c r="D668" vm="1325">
        <f ca="1"/>
        <v>44909</v>
      </c>
      <c r="E668" vm="1326">
        <f ca="1"/>
        <v>17.673999999999999</v>
      </c>
      <c r="F668" s="3">
        <f t="shared" ca="1" si="71"/>
        <v>2.7552674230145867E-2</v>
      </c>
      <c r="G668" s="3">
        <f t="shared" ca="1" si="72"/>
        <v>0.86507293354943271</v>
      </c>
      <c r="H668" s="3">
        <f t="shared" ca="1" si="73"/>
        <v>0.2403160453808752</v>
      </c>
      <c r="I668" s="3">
        <f t="shared" ca="1" si="74"/>
        <v>160.3655588235294</v>
      </c>
      <c r="J668" s="3">
        <f t="shared" ca="1" si="75"/>
        <v>5.1076618266978926</v>
      </c>
      <c r="K668" s="3">
        <f t="shared" ca="1" si="76"/>
        <v>18.386204687236553</v>
      </c>
    </row>
    <row r="669" spans="3:11" x14ac:dyDescent="0.35">
      <c r="C669" t="str">
        <f t="shared" ca="1" si="70"/>
        <v>3Q2022</v>
      </c>
      <c r="D669" vm="1327">
        <f ca="1"/>
        <v>44910</v>
      </c>
      <c r="E669" vm="1328">
        <f ca="1"/>
        <v>16.952000000000002</v>
      </c>
      <c r="F669" s="3">
        <f t="shared" ca="1" si="71"/>
        <v>2.7552674230145867E-2</v>
      </c>
      <c r="G669" s="3">
        <f t="shared" ca="1" si="72"/>
        <v>0.86507293354943271</v>
      </c>
      <c r="H669" s="3">
        <f t="shared" ca="1" si="73"/>
        <v>0.2403160453808752</v>
      </c>
      <c r="I669" s="3">
        <f t="shared" ca="1" si="74"/>
        <v>153.81447058823531</v>
      </c>
      <c r="J669" s="3">
        <f t="shared" ca="1" si="75"/>
        <v>4.8990088992974243</v>
      </c>
      <c r="K669" s="3">
        <f t="shared" ca="1" si="76"/>
        <v>17.635110436688588</v>
      </c>
    </row>
    <row r="670" spans="3:11" x14ac:dyDescent="0.35">
      <c r="C670" t="str">
        <f t="shared" ca="1" si="70"/>
        <v>3Q2022</v>
      </c>
      <c r="D670" vm="1329">
        <f ca="1"/>
        <v>44911</v>
      </c>
      <c r="E670" vm="1330">
        <f ca="1"/>
        <v>16.571000000000002</v>
      </c>
      <c r="F670" s="3">
        <f t="shared" ca="1" si="71"/>
        <v>2.7552674230145867E-2</v>
      </c>
      <c r="G670" s="3">
        <f t="shared" ca="1" si="72"/>
        <v>0.86507293354943271</v>
      </c>
      <c r="H670" s="3">
        <f t="shared" ca="1" si="73"/>
        <v>0.2403160453808752</v>
      </c>
      <c r="I670" s="3">
        <f t="shared" ca="1" si="74"/>
        <v>150.35745588235295</v>
      </c>
      <c r="J670" s="3">
        <f t="shared" ca="1" si="75"/>
        <v>4.7889025761124131</v>
      </c>
      <c r="K670" s="3">
        <f t="shared" ca="1" si="76"/>
        <v>17.238757376496377</v>
      </c>
    </row>
    <row r="671" spans="3:11" x14ac:dyDescent="0.35">
      <c r="C671" t="str">
        <f t="shared" ca="1" si="70"/>
        <v>3Q2022</v>
      </c>
      <c r="D671" vm="1331">
        <f ca="1"/>
        <v>44914</v>
      </c>
      <c r="E671" vm="1332">
        <f ca="1"/>
        <v>16.254000000000001</v>
      </c>
      <c r="F671" s="3">
        <f t="shared" ca="1" si="71"/>
        <v>2.7552674230145867E-2</v>
      </c>
      <c r="G671" s="3">
        <f t="shared" ca="1" si="72"/>
        <v>0.86507293354943271</v>
      </c>
      <c r="H671" s="3">
        <f t="shared" ca="1" si="73"/>
        <v>0.2403160453808752</v>
      </c>
      <c r="I671" s="3">
        <f t="shared" ca="1" si="74"/>
        <v>147.48114705882355</v>
      </c>
      <c r="J671" s="3">
        <f t="shared" ca="1" si="75"/>
        <v>4.6972918032786888</v>
      </c>
      <c r="K671" s="3">
        <f t="shared" ca="1" si="76"/>
        <v>16.90898330804249</v>
      </c>
    </row>
    <row r="672" spans="3:11" x14ac:dyDescent="0.35">
      <c r="C672" t="str">
        <f t="shared" ca="1" si="70"/>
        <v>3Q2022</v>
      </c>
      <c r="D672" vm="1333">
        <f ca="1"/>
        <v>44915</v>
      </c>
      <c r="E672" vm="1334">
        <f ca="1"/>
        <v>16.085000000000001</v>
      </c>
      <c r="F672" s="3">
        <f t="shared" ca="1" si="71"/>
        <v>2.7552674230145867E-2</v>
      </c>
      <c r="G672" s="3">
        <f t="shared" ca="1" si="72"/>
        <v>0.86507293354943271</v>
      </c>
      <c r="H672" s="3">
        <f t="shared" ca="1" si="73"/>
        <v>0.2403160453808752</v>
      </c>
      <c r="I672" s="3">
        <f t="shared" ca="1" si="74"/>
        <v>145.94772058823531</v>
      </c>
      <c r="J672" s="3">
        <f t="shared" ca="1" si="75"/>
        <v>4.648451990632319</v>
      </c>
      <c r="K672" s="3">
        <f t="shared" ca="1" si="76"/>
        <v>16.733173157983479</v>
      </c>
    </row>
    <row r="673" spans="3:11" x14ac:dyDescent="0.35">
      <c r="C673" t="str">
        <f t="shared" ca="1" si="70"/>
        <v>3Q2022</v>
      </c>
      <c r="D673" vm="1335">
        <f ca="1"/>
        <v>44916</v>
      </c>
      <c r="E673" vm="1336">
        <f ca="1"/>
        <v>16.501000000000001</v>
      </c>
      <c r="F673" s="3">
        <f t="shared" ca="1" si="71"/>
        <v>2.7552674230145867E-2</v>
      </c>
      <c r="G673" s="3">
        <f t="shared" ca="1" si="72"/>
        <v>0.86507293354943271</v>
      </c>
      <c r="H673" s="3">
        <f t="shared" ca="1" si="73"/>
        <v>0.2403160453808752</v>
      </c>
      <c r="I673" s="3">
        <f t="shared" ca="1" si="74"/>
        <v>149.72230882352943</v>
      </c>
      <c r="J673" s="3">
        <f t="shared" ca="1" si="75"/>
        <v>4.7686730679156915</v>
      </c>
      <c r="K673" s="3">
        <f t="shared" ca="1" si="76"/>
        <v>17.165936604282585</v>
      </c>
    </row>
    <row r="674" spans="3:11" x14ac:dyDescent="0.35">
      <c r="C674" t="str">
        <f t="shared" ca="1" si="70"/>
        <v>3Q2022</v>
      </c>
      <c r="D674" vm="1337">
        <f ca="1"/>
        <v>44917</v>
      </c>
      <c r="E674" vm="1338">
        <f ca="1"/>
        <v>15.339</v>
      </c>
      <c r="F674" s="3">
        <f t="shared" ca="1" si="71"/>
        <v>2.7552674230145867E-2</v>
      </c>
      <c r="G674" s="3">
        <f t="shared" ca="1" si="72"/>
        <v>0.86507293354943271</v>
      </c>
      <c r="H674" s="3">
        <f t="shared" ca="1" si="73"/>
        <v>0.2403160453808752</v>
      </c>
      <c r="I674" s="3">
        <f t="shared" ca="1" si="74"/>
        <v>139.17886764705884</v>
      </c>
      <c r="J674" s="3">
        <f t="shared" ca="1" si="75"/>
        <v>4.4328632318501171</v>
      </c>
      <c r="K674" s="3">
        <f t="shared" ca="1" si="76"/>
        <v>15.957111785533638</v>
      </c>
    </row>
    <row r="675" spans="3:11" x14ac:dyDescent="0.35">
      <c r="C675" t="str">
        <f t="shared" ca="1" si="70"/>
        <v>3Q2022</v>
      </c>
      <c r="D675" vm="1339">
        <f ca="1"/>
        <v>44918</v>
      </c>
      <c r="E675" vm="1340">
        <f ca="1"/>
        <v>15.206</v>
      </c>
      <c r="F675" s="3">
        <f t="shared" ca="1" si="71"/>
        <v>2.7552674230145867E-2</v>
      </c>
      <c r="G675" s="3">
        <f t="shared" ca="1" si="72"/>
        <v>0.86507293354943271</v>
      </c>
      <c r="H675" s="3">
        <f t="shared" ca="1" si="73"/>
        <v>0.2403160453808752</v>
      </c>
      <c r="I675" s="3">
        <f t="shared" ca="1" si="74"/>
        <v>137.97208823529411</v>
      </c>
      <c r="J675" s="3">
        <f t="shared" ca="1" si="75"/>
        <v>4.3944271662763468</v>
      </c>
      <c r="K675" s="3">
        <f t="shared" ca="1" si="76"/>
        <v>15.818752318327432</v>
      </c>
    </row>
    <row r="676" spans="3:11" x14ac:dyDescent="0.35">
      <c r="C676" t="str">
        <f t="shared" ca="1" si="70"/>
        <v>3Q2022</v>
      </c>
      <c r="D676" vm="1341">
        <f ca="1"/>
        <v>44922</v>
      </c>
      <c r="E676" vm="1342">
        <f ca="1"/>
        <v>14.121</v>
      </c>
      <c r="F676" s="3">
        <f t="shared" ca="1" si="71"/>
        <v>2.7552674230145867E-2</v>
      </c>
      <c r="G676" s="3">
        <f t="shared" ca="1" si="72"/>
        <v>0.86507293354943271</v>
      </c>
      <c r="H676" s="3">
        <f t="shared" ca="1" si="73"/>
        <v>0.2403160453808752</v>
      </c>
      <c r="I676" s="3">
        <f t="shared" ca="1" si="74"/>
        <v>128.1273088235294</v>
      </c>
      <c r="J676" s="3">
        <f t="shared" ca="1" si="75"/>
        <v>4.0808697892271661</v>
      </c>
      <c r="K676" s="3">
        <f t="shared" ca="1" si="76"/>
        <v>14.690030349013657</v>
      </c>
    </row>
    <row r="677" spans="3:11" x14ac:dyDescent="0.35">
      <c r="C677" t="str">
        <f t="shared" ca="1" si="70"/>
        <v>3Q2022</v>
      </c>
      <c r="D677" vm="1343">
        <f ca="1"/>
        <v>44923</v>
      </c>
      <c r="E677" vm="1344">
        <f ca="1"/>
        <v>14.036</v>
      </c>
      <c r="F677" s="3">
        <f t="shared" ca="1" si="71"/>
        <v>2.7552674230145867E-2</v>
      </c>
      <c r="G677" s="3">
        <f t="shared" ca="1" si="72"/>
        <v>0.86507293354943271</v>
      </c>
      <c r="H677" s="3">
        <f t="shared" ca="1" si="73"/>
        <v>0.2403160453808752</v>
      </c>
      <c r="I677" s="3">
        <f t="shared" ca="1" si="74"/>
        <v>127.35605882352941</v>
      </c>
      <c r="J677" s="3">
        <f t="shared" ca="1" si="75"/>
        <v>4.0563053864168621</v>
      </c>
      <c r="K677" s="3">
        <f t="shared" ca="1" si="76"/>
        <v>14.601605125611195</v>
      </c>
    </row>
    <row r="678" spans="3:11" x14ac:dyDescent="0.35">
      <c r="C678" t="str">
        <f t="shared" ca="1" si="70"/>
        <v>3Q2022</v>
      </c>
      <c r="D678" vm="1345">
        <f ca="1"/>
        <v>44924</v>
      </c>
      <c r="E678" vm="1346">
        <f ca="1"/>
        <v>14.603</v>
      </c>
      <c r="F678" s="3">
        <f t="shared" ca="1" si="71"/>
        <v>2.7552674230145867E-2</v>
      </c>
      <c r="G678" s="3">
        <f t="shared" ca="1" si="72"/>
        <v>0.86507293354943271</v>
      </c>
      <c r="H678" s="3">
        <f t="shared" ca="1" si="73"/>
        <v>0.2403160453808752</v>
      </c>
      <c r="I678" s="3">
        <f t="shared" ca="1" si="74"/>
        <v>132.50075000000001</v>
      </c>
      <c r="J678" s="3">
        <f t="shared" ca="1" si="75"/>
        <v>4.2201644028103047</v>
      </c>
      <c r="K678" s="3">
        <f t="shared" ca="1" si="76"/>
        <v>15.19145338054291</v>
      </c>
    </row>
    <row r="679" spans="3:11" x14ac:dyDescent="0.35">
      <c r="C679" t="str">
        <f t="shared" ca="1" si="70"/>
        <v>3Q2022</v>
      </c>
      <c r="D679" vm="1347">
        <f ca="1"/>
        <v>44925</v>
      </c>
      <c r="E679" vm="1348">
        <f ca="1"/>
        <v>14.614000000000001</v>
      </c>
      <c r="F679" s="3">
        <f t="shared" ca="1" si="71"/>
        <v>2.7552674230145867E-2</v>
      </c>
      <c r="G679" s="3">
        <f t="shared" ca="1" si="72"/>
        <v>0.86507293354943271</v>
      </c>
      <c r="H679" s="3">
        <f t="shared" ca="1" si="73"/>
        <v>0.2403160453808752</v>
      </c>
      <c r="I679" s="3">
        <f t="shared" ca="1" si="74"/>
        <v>132.60055882352941</v>
      </c>
      <c r="J679" s="3">
        <f t="shared" ca="1" si="75"/>
        <v>4.2233433255269324</v>
      </c>
      <c r="K679" s="3">
        <f t="shared" ca="1" si="76"/>
        <v>15.202896644747936</v>
      </c>
    </row>
    <row r="680" spans="3:11" x14ac:dyDescent="0.35">
      <c r="C680" t="str">
        <f t="shared" ca="1" si="70"/>
        <v>3Q2022</v>
      </c>
      <c r="D680" vm="1349">
        <f ca="1"/>
        <v>44929</v>
      </c>
      <c r="E680" vm="1350">
        <f ca="1"/>
        <v>14.315</v>
      </c>
      <c r="F680" s="3">
        <f t="shared" ca="1" si="71"/>
        <v>2.7552674230145867E-2</v>
      </c>
      <c r="G680" s="3">
        <f t="shared" ca="1" si="72"/>
        <v>0.86507293354943271</v>
      </c>
      <c r="H680" s="3">
        <f t="shared" ca="1" si="73"/>
        <v>0.2403160453808752</v>
      </c>
      <c r="I680" s="3">
        <f t="shared" ca="1" si="74"/>
        <v>129.88757352941175</v>
      </c>
      <c r="J680" s="3">
        <f t="shared" ca="1" si="75"/>
        <v>4.1369344262295078</v>
      </c>
      <c r="K680" s="3">
        <f t="shared" ca="1" si="76"/>
        <v>14.891847917720451</v>
      </c>
    </row>
    <row r="681" spans="3:11" x14ac:dyDescent="0.35">
      <c r="C681" t="str">
        <f t="shared" ca="1" si="70"/>
        <v>3Q2022</v>
      </c>
      <c r="D681" vm="1351">
        <f ca="1"/>
        <v>44930</v>
      </c>
      <c r="E681" vm="1352">
        <f ca="1"/>
        <v>14.749000000000001</v>
      </c>
      <c r="F681" s="3">
        <f t="shared" ca="1" si="71"/>
        <v>2.7552674230145867E-2</v>
      </c>
      <c r="G681" s="3">
        <f t="shared" ca="1" si="72"/>
        <v>0.86507293354943271</v>
      </c>
      <c r="H681" s="3">
        <f t="shared" ca="1" si="73"/>
        <v>0.2403160453808752</v>
      </c>
      <c r="I681" s="3">
        <f t="shared" ca="1" si="74"/>
        <v>133.82548529411764</v>
      </c>
      <c r="J681" s="3">
        <f t="shared" ca="1" si="75"/>
        <v>4.2623573770491809</v>
      </c>
      <c r="K681" s="3">
        <f t="shared" ca="1" si="76"/>
        <v>15.343336705445962</v>
      </c>
    </row>
    <row r="682" spans="3:11" x14ac:dyDescent="0.35">
      <c r="C682" t="str">
        <f t="shared" ca="1" si="70"/>
        <v>3Q2022</v>
      </c>
      <c r="D682" vm="1353">
        <f ca="1"/>
        <v>44931</v>
      </c>
      <c r="E682" vm="1354">
        <f ca="1"/>
        <v>14.265000000000001</v>
      </c>
      <c r="F682" s="3">
        <f t="shared" ca="1" si="71"/>
        <v>2.7552674230145867E-2</v>
      </c>
      <c r="G682" s="3">
        <f t="shared" ca="1" si="72"/>
        <v>0.86507293354943271</v>
      </c>
      <c r="H682" s="3">
        <f t="shared" ca="1" si="73"/>
        <v>0.2403160453808752</v>
      </c>
      <c r="I682" s="3">
        <f t="shared" ca="1" si="74"/>
        <v>129.43389705882353</v>
      </c>
      <c r="J682" s="3">
        <f t="shared" ca="1" si="75"/>
        <v>4.122484777517565</v>
      </c>
      <c r="K682" s="3">
        <f t="shared" ca="1" si="76"/>
        <v>14.839833080424887</v>
      </c>
    </row>
    <row r="683" spans="3:11" x14ac:dyDescent="0.35">
      <c r="C683" t="str">
        <f t="shared" ca="1" si="70"/>
        <v>3Q2022</v>
      </c>
      <c r="D683" vm="1355">
        <f ca="1"/>
        <v>44932</v>
      </c>
      <c r="E683" vm="1356">
        <f ca="1"/>
        <v>14.859</v>
      </c>
      <c r="F683" s="3">
        <f t="shared" ca="1" si="71"/>
        <v>2.7552674230145867E-2</v>
      </c>
      <c r="G683" s="3">
        <f t="shared" ca="1" si="72"/>
        <v>0.86507293354943271</v>
      </c>
      <c r="H683" s="3">
        <f t="shared" ca="1" si="73"/>
        <v>0.2403160453808752</v>
      </c>
      <c r="I683" s="3">
        <f t="shared" ca="1" si="74"/>
        <v>134.82357352941176</v>
      </c>
      <c r="J683" s="3">
        <f t="shared" ca="1" si="75"/>
        <v>4.2941466042154568</v>
      </c>
      <c r="K683" s="3">
        <f t="shared" ca="1" si="76"/>
        <v>15.457769347496207</v>
      </c>
    </row>
    <row r="684" spans="3:11" x14ac:dyDescent="0.35">
      <c r="C684" t="str">
        <f t="shared" ca="1" si="70"/>
        <v>3Q2022</v>
      </c>
      <c r="D684" vm="1357">
        <f ca="1"/>
        <v>44935</v>
      </c>
      <c r="E684" vm="1358">
        <f ca="1"/>
        <v>15.628</v>
      </c>
      <c r="F684" s="3">
        <f t="shared" ca="1" si="71"/>
        <v>2.7552674230145867E-2</v>
      </c>
      <c r="G684" s="3">
        <f t="shared" ca="1" si="72"/>
        <v>0.86507293354943271</v>
      </c>
      <c r="H684" s="3">
        <f t="shared" ca="1" si="73"/>
        <v>0.2403160453808752</v>
      </c>
      <c r="I684" s="3">
        <f t="shared" ca="1" si="74"/>
        <v>141.80111764705882</v>
      </c>
      <c r="J684" s="3">
        <f t="shared" ca="1" si="75"/>
        <v>4.5163822014051522</v>
      </c>
      <c r="K684" s="3">
        <f t="shared" ca="1" si="76"/>
        <v>16.257757545102006</v>
      </c>
    </row>
    <row r="685" spans="3:11" x14ac:dyDescent="0.35">
      <c r="C685" t="str">
        <f t="shared" ca="1" si="70"/>
        <v>3Q2022</v>
      </c>
      <c r="D685" vm="1359">
        <f ca="1"/>
        <v>44936</v>
      </c>
      <c r="E685" vm="1360">
        <f ca="1"/>
        <v>15.909000000000001</v>
      </c>
      <c r="F685" s="3">
        <f t="shared" ca="1" si="71"/>
        <v>2.7552674230145867E-2</v>
      </c>
      <c r="G685" s="3">
        <f t="shared" ca="1" si="72"/>
        <v>0.86507293354943271</v>
      </c>
      <c r="H685" s="3">
        <f t="shared" ca="1" si="73"/>
        <v>0.2403160453808752</v>
      </c>
      <c r="I685" s="3">
        <f t="shared" ca="1" si="74"/>
        <v>144.35077941176471</v>
      </c>
      <c r="J685" s="3">
        <f t="shared" ca="1" si="75"/>
        <v>4.597589227166277</v>
      </c>
      <c r="K685" s="3">
        <f t="shared" ca="1" si="76"/>
        <v>16.550080930703086</v>
      </c>
    </row>
    <row r="686" spans="3:11" x14ac:dyDescent="0.35">
      <c r="C686" t="str">
        <f t="shared" ca="1" si="70"/>
        <v>3Q2022</v>
      </c>
      <c r="D686" vm="1361">
        <f ca="1"/>
        <v>44937</v>
      </c>
      <c r="E686" vm="1362">
        <f ca="1"/>
        <v>16.001000000000001</v>
      </c>
      <c r="F686" s="3">
        <f t="shared" ca="1" si="71"/>
        <v>2.7552674230145867E-2</v>
      </c>
      <c r="G686" s="3">
        <f t="shared" ca="1" si="72"/>
        <v>0.86507293354943271</v>
      </c>
      <c r="H686" s="3">
        <f t="shared" ca="1" si="73"/>
        <v>0.2403160453808752</v>
      </c>
      <c r="I686" s="3">
        <f t="shared" ca="1" si="74"/>
        <v>145.18554411764708</v>
      </c>
      <c r="J686" s="3">
        <f t="shared" ca="1" si="75"/>
        <v>4.6241765807962532</v>
      </c>
      <c r="K686" s="3">
        <f t="shared" ca="1" si="76"/>
        <v>16.645788231326929</v>
      </c>
    </row>
    <row r="687" spans="3:11" x14ac:dyDescent="0.35">
      <c r="C687" t="str">
        <f t="shared" ca="1" si="70"/>
        <v>3Q2022</v>
      </c>
      <c r="D687" vm="1363">
        <f ca="1"/>
        <v>44938</v>
      </c>
      <c r="E687" vm="1364">
        <f ca="1"/>
        <v>16.510999999999999</v>
      </c>
      <c r="F687" s="3">
        <f t="shared" ca="1" si="71"/>
        <v>2.7552674230145867E-2</v>
      </c>
      <c r="G687" s="3">
        <f t="shared" ca="1" si="72"/>
        <v>0.86507293354943271</v>
      </c>
      <c r="H687" s="3">
        <f t="shared" ca="1" si="73"/>
        <v>0.2403160453808752</v>
      </c>
      <c r="I687" s="3">
        <f t="shared" ca="1" si="74"/>
        <v>149.81304411764705</v>
      </c>
      <c r="J687" s="3">
        <f t="shared" ca="1" si="75"/>
        <v>4.77156299765808</v>
      </c>
      <c r="K687" s="3">
        <f t="shared" ca="1" si="76"/>
        <v>17.176339571741696</v>
      </c>
    </row>
    <row r="688" spans="3:11" x14ac:dyDescent="0.35">
      <c r="C688" t="str">
        <f t="shared" ca="1" si="70"/>
        <v>3Q2022</v>
      </c>
      <c r="D688" vm="1365">
        <f ca="1"/>
        <v>44939</v>
      </c>
      <c r="E688" vm="1366">
        <f ca="1"/>
        <v>16.899000000000001</v>
      </c>
      <c r="F688" s="3">
        <f t="shared" ca="1" si="71"/>
        <v>2.7552674230145867E-2</v>
      </c>
      <c r="G688" s="3">
        <f t="shared" ca="1" si="72"/>
        <v>0.86507293354943271</v>
      </c>
      <c r="H688" s="3">
        <f t="shared" ca="1" si="73"/>
        <v>0.2403160453808752</v>
      </c>
      <c r="I688" s="3">
        <f t="shared" ca="1" si="74"/>
        <v>153.33357352941178</v>
      </c>
      <c r="J688" s="3">
        <f t="shared" ca="1" si="75"/>
        <v>4.8836922716627642</v>
      </c>
      <c r="K688" s="3">
        <f t="shared" ca="1" si="76"/>
        <v>17.579974709155287</v>
      </c>
    </row>
    <row r="689" spans="3:11" x14ac:dyDescent="0.35">
      <c r="C689" t="str">
        <f t="shared" ca="1" si="70"/>
        <v>3Q2022</v>
      </c>
      <c r="D689" vm="1367">
        <f ca="1"/>
        <v>44943</v>
      </c>
      <c r="E689" vm="1368">
        <f ca="1"/>
        <v>17.702000000000002</v>
      </c>
      <c r="F689" s="3">
        <f t="shared" ca="1" si="71"/>
        <v>2.7552674230145867E-2</v>
      </c>
      <c r="G689" s="3">
        <f t="shared" ca="1" si="72"/>
        <v>0.86507293354943271</v>
      </c>
      <c r="H689" s="3">
        <f t="shared" ca="1" si="73"/>
        <v>0.2403160453808752</v>
      </c>
      <c r="I689" s="3">
        <f t="shared" ca="1" si="74"/>
        <v>160.61961764705885</v>
      </c>
      <c r="J689" s="3">
        <f t="shared" ca="1" si="75"/>
        <v>5.1157536299765818</v>
      </c>
      <c r="K689" s="3">
        <f t="shared" ca="1" si="76"/>
        <v>18.415332996122071</v>
      </c>
    </row>
    <row r="690" spans="3:11" x14ac:dyDescent="0.35">
      <c r="C690" t="str">
        <f t="shared" ca="1" si="70"/>
        <v>3Q2022</v>
      </c>
      <c r="D690" vm="1369">
        <f ca="1"/>
        <v>44944</v>
      </c>
      <c r="E690" vm="1370">
        <f ca="1"/>
        <v>17.376999999999999</v>
      </c>
      <c r="F690" s="3">
        <f t="shared" ca="1" si="71"/>
        <v>2.7552674230145867E-2</v>
      </c>
      <c r="G690" s="3">
        <f t="shared" ca="1" si="72"/>
        <v>0.86507293354943271</v>
      </c>
      <c r="H690" s="3">
        <f t="shared" ca="1" si="73"/>
        <v>0.2403160453808752</v>
      </c>
      <c r="I690" s="3">
        <f t="shared" ca="1" si="74"/>
        <v>157.6707205882353</v>
      </c>
      <c r="J690" s="3">
        <f t="shared" ca="1" si="75"/>
        <v>5.0218309133489463</v>
      </c>
      <c r="K690" s="3">
        <f t="shared" ca="1" si="76"/>
        <v>18.077236553700892</v>
      </c>
    </row>
    <row r="691" spans="3:11" x14ac:dyDescent="0.35">
      <c r="C691" t="str">
        <f t="shared" ca="1" si="70"/>
        <v>3Q2022</v>
      </c>
      <c r="D691" vm="1371">
        <f ca="1"/>
        <v>44945</v>
      </c>
      <c r="E691" vm="1372">
        <f ca="1"/>
        <v>16.765000000000001</v>
      </c>
      <c r="F691" s="3">
        <f t="shared" ca="1" si="71"/>
        <v>2.7552674230145867E-2</v>
      </c>
      <c r="G691" s="3">
        <f t="shared" ca="1" si="72"/>
        <v>0.86507293354943271</v>
      </c>
      <c r="H691" s="3">
        <f t="shared" ca="1" si="73"/>
        <v>0.2403160453808752</v>
      </c>
      <c r="I691" s="3">
        <f t="shared" ca="1" si="74"/>
        <v>152.1177205882353</v>
      </c>
      <c r="J691" s="3">
        <f t="shared" ca="1" si="75"/>
        <v>4.8449672131147548</v>
      </c>
      <c r="K691" s="3">
        <f t="shared" ca="1" si="76"/>
        <v>17.440574945203171</v>
      </c>
    </row>
    <row r="692" spans="3:11" x14ac:dyDescent="0.35">
      <c r="C692" t="str">
        <f t="shared" ca="1" si="70"/>
        <v>3Q2022</v>
      </c>
      <c r="D692" vm="1373">
        <f ca="1"/>
        <v>44946</v>
      </c>
      <c r="E692" vm="1374">
        <f ca="1"/>
        <v>17.838999999999999</v>
      </c>
      <c r="F692" s="3">
        <f t="shared" ca="1" si="71"/>
        <v>2.7552674230145867E-2</v>
      </c>
      <c r="G692" s="3">
        <f t="shared" ca="1" si="72"/>
        <v>0.86507293354943271</v>
      </c>
      <c r="H692" s="3">
        <f t="shared" ca="1" si="73"/>
        <v>0.2403160453808752</v>
      </c>
      <c r="I692" s="3">
        <f t="shared" ca="1" si="74"/>
        <v>161.86269117647058</v>
      </c>
      <c r="J692" s="3">
        <f t="shared" ca="1" si="75"/>
        <v>5.1553456674473068</v>
      </c>
      <c r="K692" s="3">
        <f t="shared" ca="1" si="76"/>
        <v>18.55785365031192</v>
      </c>
    </row>
    <row r="693" spans="3:11" x14ac:dyDescent="0.35">
      <c r="C693" t="str">
        <f t="shared" ca="1" si="70"/>
        <v>3Q2022</v>
      </c>
      <c r="D693" vm="1375">
        <f ca="1"/>
        <v>44949</v>
      </c>
      <c r="E693" vm="1376">
        <f ca="1"/>
        <v>19.193000000000001</v>
      </c>
      <c r="F693" s="3">
        <f t="shared" ca="1" si="71"/>
        <v>2.7552674230145867E-2</v>
      </c>
      <c r="G693" s="3">
        <f t="shared" ca="1" si="72"/>
        <v>0.86507293354943271</v>
      </c>
      <c r="H693" s="3">
        <f t="shared" ca="1" si="73"/>
        <v>0.2403160453808752</v>
      </c>
      <c r="I693" s="3">
        <f t="shared" ca="1" si="74"/>
        <v>174.14825000000002</v>
      </c>
      <c r="J693" s="3">
        <f t="shared" ca="1" si="75"/>
        <v>5.5466421545667455</v>
      </c>
      <c r="K693" s="3">
        <f t="shared" ca="1" si="76"/>
        <v>19.966415444275842</v>
      </c>
    </row>
    <row r="694" spans="3:11" x14ac:dyDescent="0.35">
      <c r="C694" t="str">
        <f t="shared" ca="1" si="70"/>
        <v>3Q2022</v>
      </c>
      <c r="D694" vm="1377">
        <f ca="1"/>
        <v>44950</v>
      </c>
      <c r="E694" vm="1378">
        <f ca="1"/>
        <v>19.265000000000001</v>
      </c>
      <c r="F694" s="3">
        <f t="shared" ca="1" si="71"/>
        <v>2.7552674230145867E-2</v>
      </c>
      <c r="G694" s="3">
        <f t="shared" ca="1" si="72"/>
        <v>0.86507293354943271</v>
      </c>
      <c r="H694" s="3">
        <f t="shared" ca="1" si="73"/>
        <v>0.2403160453808752</v>
      </c>
      <c r="I694" s="3">
        <f t="shared" ca="1" si="74"/>
        <v>174.80154411764707</v>
      </c>
      <c r="J694" s="3">
        <f t="shared" ca="1" si="75"/>
        <v>5.5674496487119445</v>
      </c>
      <c r="K694" s="3">
        <f t="shared" ca="1" si="76"/>
        <v>20.041316809981453</v>
      </c>
    </row>
    <row r="695" spans="3:11" x14ac:dyDescent="0.35">
      <c r="C695" t="str">
        <f t="shared" ca="1" si="70"/>
        <v>3Q2022</v>
      </c>
      <c r="D695" vm="1379">
        <f ca="1"/>
        <v>44951</v>
      </c>
      <c r="E695" vm="1380">
        <f ca="1"/>
        <v>19.323</v>
      </c>
      <c r="F695" s="3">
        <f t="shared" ca="1" si="71"/>
        <v>2.7552674230145867E-2</v>
      </c>
      <c r="G695" s="3">
        <f t="shared" ca="1" si="72"/>
        <v>0.86507293354943271</v>
      </c>
      <c r="H695" s="3">
        <f t="shared" ca="1" si="73"/>
        <v>0.2403160453808752</v>
      </c>
      <c r="I695" s="3">
        <f t="shared" ca="1" si="74"/>
        <v>175.32780882352941</v>
      </c>
      <c r="J695" s="3">
        <f t="shared" ca="1" si="75"/>
        <v>5.5842112412177993</v>
      </c>
      <c r="K695" s="3">
        <f t="shared" ca="1" si="76"/>
        <v>20.101654021244311</v>
      </c>
    </row>
    <row r="696" spans="3:11" x14ac:dyDescent="0.35">
      <c r="C696" t="str">
        <f t="shared" ca="1" si="70"/>
        <v>3Q2022</v>
      </c>
      <c r="D696" vm="1381">
        <f ca="1"/>
        <v>44952</v>
      </c>
      <c r="E696" vm="1382">
        <f ca="1"/>
        <v>19.802</v>
      </c>
      <c r="F696" s="3">
        <f t="shared" ca="1" si="71"/>
        <v>2.7552674230145867E-2</v>
      </c>
      <c r="G696" s="3">
        <f t="shared" ca="1" si="72"/>
        <v>0.86507293354943271</v>
      </c>
      <c r="H696" s="3">
        <f t="shared" ca="1" si="73"/>
        <v>0.2403160453808752</v>
      </c>
      <c r="I696" s="3">
        <f t="shared" ca="1" si="74"/>
        <v>179.67402941176471</v>
      </c>
      <c r="J696" s="3">
        <f t="shared" ca="1" si="75"/>
        <v>5.7226388758782205</v>
      </c>
      <c r="K696" s="3">
        <f t="shared" ca="1" si="76"/>
        <v>20.599956162535829</v>
      </c>
    </row>
    <row r="697" spans="3:11" x14ac:dyDescent="0.35">
      <c r="C697" t="str">
        <f t="shared" ca="1" si="70"/>
        <v>3Q2022</v>
      </c>
      <c r="D697" vm="1383">
        <f ca="1"/>
        <v>44953</v>
      </c>
      <c r="E697" vm="1384">
        <f ca="1"/>
        <v>20.364999999999998</v>
      </c>
      <c r="F697" s="3">
        <f t="shared" ca="1" si="71"/>
        <v>2.7552674230145867E-2</v>
      </c>
      <c r="G697" s="3">
        <f t="shared" ca="1" si="72"/>
        <v>0.86507293354943271</v>
      </c>
      <c r="H697" s="3">
        <f t="shared" ca="1" si="73"/>
        <v>0.2403160453808752</v>
      </c>
      <c r="I697" s="3">
        <f t="shared" ca="1" si="74"/>
        <v>184.78242647058823</v>
      </c>
      <c r="J697" s="3">
        <f t="shared" ca="1" si="75"/>
        <v>5.8853419203747066</v>
      </c>
      <c r="K697" s="3">
        <f t="shared" ca="1" si="76"/>
        <v>21.185643230483898</v>
      </c>
    </row>
    <row r="698" spans="3:11" x14ac:dyDescent="0.35">
      <c r="C698" t="str">
        <f t="shared" ca="1" si="70"/>
        <v>4Q2022</v>
      </c>
      <c r="D698" vm="1385">
        <f ca="1"/>
        <v>44956</v>
      </c>
      <c r="E698" vm="1386">
        <f ca="1"/>
        <v>19.161999999999999</v>
      </c>
      <c r="F698" s="3">
        <f t="shared" ca="1" si="71"/>
        <v>5.7339821573398217E-2</v>
      </c>
      <c r="G698" s="3">
        <f t="shared" ca="1" si="72"/>
        <v>0.89618815896188164</v>
      </c>
      <c r="H698" s="3">
        <f t="shared" ca="1" si="73"/>
        <v>0.24537712895377128</v>
      </c>
      <c r="I698" s="3">
        <f t="shared" ca="1" si="74"/>
        <v>83.545777934936339</v>
      </c>
      <c r="J698" s="3">
        <f t="shared" ca="1" si="75"/>
        <v>5.3454176470588228</v>
      </c>
      <c r="K698" s="3">
        <f t="shared" ca="1" si="76"/>
        <v>19.523009419930588</v>
      </c>
    </row>
    <row r="699" spans="3:11" x14ac:dyDescent="0.35">
      <c r="C699" t="str">
        <f t="shared" ca="1" si="70"/>
        <v>4Q2022</v>
      </c>
      <c r="D699" vm="1387">
        <f ca="1"/>
        <v>44957</v>
      </c>
      <c r="E699" vm="1388">
        <f ca="1"/>
        <v>19.536999999999999</v>
      </c>
      <c r="F699" s="3">
        <f t="shared" ca="1" si="71"/>
        <v>5.7339821573398217E-2</v>
      </c>
      <c r="G699" s="3">
        <f t="shared" ca="1" si="72"/>
        <v>0.89618815896188164</v>
      </c>
      <c r="H699" s="3">
        <f t="shared" ca="1" si="73"/>
        <v>0.24537712895377128</v>
      </c>
      <c r="I699" s="3">
        <f t="shared" ca="1" si="74"/>
        <v>85.180767326732663</v>
      </c>
      <c r="J699" s="3">
        <f t="shared" ca="1" si="75"/>
        <v>5.4500273755656101</v>
      </c>
      <c r="K699" s="3">
        <f t="shared" ca="1" si="76"/>
        <v>19.905074367873077</v>
      </c>
    </row>
    <row r="700" spans="3:11" x14ac:dyDescent="0.35">
      <c r="C700" t="str">
        <f t="shared" ca="1" si="70"/>
        <v>4Q2022</v>
      </c>
      <c r="D700" vm="1389">
        <f ca="1"/>
        <v>44958</v>
      </c>
      <c r="E700" vm="1390">
        <f ca="1"/>
        <v>20.943000000000001</v>
      </c>
      <c r="F700" s="3">
        <f t="shared" ca="1" si="71"/>
        <v>5.7339821573398217E-2</v>
      </c>
      <c r="G700" s="3">
        <f t="shared" ca="1" si="72"/>
        <v>0.89618815896188164</v>
      </c>
      <c r="H700" s="3">
        <f t="shared" ca="1" si="73"/>
        <v>0.24537712895377128</v>
      </c>
      <c r="I700" s="3">
        <f t="shared" ca="1" si="74"/>
        <v>91.310887553041027</v>
      </c>
      <c r="J700" s="3">
        <f t="shared" ca="1" si="75"/>
        <v>5.8422441176470592</v>
      </c>
      <c r="K700" s="3">
        <f t="shared" ca="1" si="76"/>
        <v>21.337563212692118</v>
      </c>
    </row>
    <row r="701" spans="3:11" x14ac:dyDescent="0.35">
      <c r="C701" t="str">
        <f t="shared" ca="1" si="70"/>
        <v>4Q2022</v>
      </c>
      <c r="D701" vm="1391">
        <f ca="1"/>
        <v>44959</v>
      </c>
      <c r="E701" vm="1392">
        <f ca="1"/>
        <v>21.709</v>
      </c>
      <c r="F701" s="3">
        <f t="shared" ca="1" si="71"/>
        <v>5.7339821573398217E-2</v>
      </c>
      <c r="G701" s="3">
        <f t="shared" ca="1" si="72"/>
        <v>0.89618815896188164</v>
      </c>
      <c r="H701" s="3">
        <f t="shared" ca="1" si="73"/>
        <v>0.24537712895377128</v>
      </c>
      <c r="I701" s="3">
        <f t="shared" ca="1" si="74"/>
        <v>94.650625884016975</v>
      </c>
      <c r="J701" s="3">
        <f t="shared" ca="1" si="75"/>
        <v>6.0559269230769228</v>
      </c>
      <c r="K701" s="3">
        <f t="shared" ca="1" si="76"/>
        <v>22.117994546355973</v>
      </c>
    </row>
    <row r="702" spans="3:11" x14ac:dyDescent="0.35">
      <c r="C702" t="str">
        <f t="shared" ca="1" si="70"/>
        <v>4Q2022</v>
      </c>
      <c r="D702" vm="1393">
        <f ca="1"/>
        <v>44960</v>
      </c>
      <c r="E702" vm="1394">
        <f ca="1"/>
        <v>21.1</v>
      </c>
      <c r="F702" s="3">
        <f t="shared" ca="1" si="71"/>
        <v>5.7339821573398217E-2</v>
      </c>
      <c r="G702" s="3">
        <f t="shared" ca="1" si="72"/>
        <v>0.89618815896188164</v>
      </c>
      <c r="H702" s="3">
        <f t="shared" ca="1" si="73"/>
        <v>0.24537712895377128</v>
      </c>
      <c r="I702" s="3">
        <f t="shared" ca="1" si="74"/>
        <v>91.995403111739748</v>
      </c>
      <c r="J702" s="3">
        <f t="shared" ca="1" si="75"/>
        <v>5.8860407239819006</v>
      </c>
      <c r="K702" s="3">
        <f t="shared" ca="1" si="76"/>
        <v>21.497521070897374</v>
      </c>
    </row>
    <row r="703" spans="3:11" x14ac:dyDescent="0.35">
      <c r="C703" t="str">
        <f t="shared" ca="1" si="70"/>
        <v>4Q2022</v>
      </c>
      <c r="D703" vm="1395">
        <f ca="1"/>
        <v>44963</v>
      </c>
      <c r="E703" vm="1396">
        <f ca="1"/>
        <v>21.088999999999999</v>
      </c>
      <c r="F703" s="3">
        <f t="shared" ca="1" si="71"/>
        <v>5.7339821573398217E-2</v>
      </c>
      <c r="G703" s="3">
        <f t="shared" ca="1" si="72"/>
        <v>0.89618815896188164</v>
      </c>
      <c r="H703" s="3">
        <f t="shared" ca="1" si="73"/>
        <v>0.24537712895377128</v>
      </c>
      <c r="I703" s="3">
        <f t="shared" ca="1" si="74"/>
        <v>91.947443422913707</v>
      </c>
      <c r="J703" s="3">
        <f t="shared" ca="1" si="75"/>
        <v>5.8829721719457009</v>
      </c>
      <c r="K703" s="3">
        <f t="shared" ca="1" si="76"/>
        <v>21.486313832424393</v>
      </c>
    </row>
    <row r="704" spans="3:11" x14ac:dyDescent="0.35">
      <c r="C704" t="str">
        <f t="shared" ca="1" si="70"/>
        <v>4Q2022</v>
      </c>
      <c r="D704" vm="1397">
        <f ca="1"/>
        <v>44964</v>
      </c>
      <c r="E704" vm="1398">
        <f ca="1"/>
        <v>22.172999999999998</v>
      </c>
      <c r="F704" s="3">
        <f t="shared" ca="1" si="71"/>
        <v>5.7339821573398217E-2</v>
      </c>
      <c r="G704" s="3">
        <f t="shared" ca="1" si="72"/>
        <v>0.89618815896188164</v>
      </c>
      <c r="H704" s="3">
        <f t="shared" ca="1" si="73"/>
        <v>0.24537712895377128</v>
      </c>
      <c r="I704" s="3">
        <f t="shared" ca="1" si="74"/>
        <v>96.673652758132945</v>
      </c>
      <c r="J704" s="3">
        <f t="shared" ca="1" si="75"/>
        <v>6.18536402714932</v>
      </c>
      <c r="K704" s="3">
        <f t="shared" ca="1" si="76"/>
        <v>22.590736241943478</v>
      </c>
    </row>
    <row r="705" spans="3:11" x14ac:dyDescent="0.35">
      <c r="C705" t="str">
        <f t="shared" ca="1" si="70"/>
        <v>4Q2022</v>
      </c>
      <c r="D705" vm="1399">
        <f ca="1"/>
        <v>44965</v>
      </c>
      <c r="E705" vm="1400">
        <f ca="1"/>
        <v>22.204999999999998</v>
      </c>
      <c r="F705" s="3">
        <f t="shared" ca="1" si="71"/>
        <v>5.7339821573398217E-2</v>
      </c>
      <c r="G705" s="3">
        <f t="shared" ca="1" si="72"/>
        <v>0.89618815896188164</v>
      </c>
      <c r="H705" s="3">
        <f t="shared" ca="1" si="73"/>
        <v>0.24537712895377128</v>
      </c>
      <c r="I705" s="3">
        <f t="shared" ca="1" si="74"/>
        <v>96.813171852899572</v>
      </c>
      <c r="J705" s="3">
        <f t="shared" ca="1" si="75"/>
        <v>6.1942907239818998</v>
      </c>
      <c r="K705" s="3">
        <f t="shared" ca="1" si="76"/>
        <v>22.623339117501239</v>
      </c>
    </row>
    <row r="706" spans="3:11" x14ac:dyDescent="0.35">
      <c r="C706" t="str">
        <f t="shared" ca="1" si="70"/>
        <v>4Q2022</v>
      </c>
      <c r="D706" vm="1401">
        <f ca="1"/>
        <v>44966</v>
      </c>
      <c r="E706" vm="1402">
        <f ca="1"/>
        <v>22.337</v>
      </c>
      <c r="F706" s="3">
        <f t="shared" ca="1" si="71"/>
        <v>5.7339821573398217E-2</v>
      </c>
      <c r="G706" s="3">
        <f t="shared" ca="1" si="72"/>
        <v>0.89618815896188164</v>
      </c>
      <c r="H706" s="3">
        <f t="shared" ca="1" si="73"/>
        <v>0.24537712895377128</v>
      </c>
      <c r="I706" s="3">
        <f t="shared" ca="1" si="74"/>
        <v>97.388688118811885</v>
      </c>
      <c r="J706" s="3">
        <f t="shared" ca="1" si="75"/>
        <v>6.2311133484162893</v>
      </c>
      <c r="K706" s="3">
        <f t="shared" ca="1" si="76"/>
        <v>22.757825979176996</v>
      </c>
    </row>
    <row r="707" spans="3:11" x14ac:dyDescent="0.35">
      <c r="C707" t="str">
        <f t="shared" ref="C707:C770" ca="1" si="77">LOOKUP(D707,$N$2:$N$27,$M$2:$M$27)</f>
        <v>4Q2022</v>
      </c>
      <c r="D707" vm="1403">
        <f ca="1"/>
        <v>44967</v>
      </c>
      <c r="E707" vm="1404">
        <f ca="1"/>
        <v>21.265000000000001</v>
      </c>
      <c r="F707" s="3">
        <f t="shared" ca="1" si="71"/>
        <v>5.7339821573398217E-2</v>
      </c>
      <c r="G707" s="3">
        <f t="shared" ca="1" si="72"/>
        <v>0.89618815896188164</v>
      </c>
      <c r="H707" s="3">
        <f t="shared" ca="1" si="73"/>
        <v>0.24537712895377128</v>
      </c>
      <c r="I707" s="3">
        <f t="shared" ca="1" si="74"/>
        <v>92.714798444130125</v>
      </c>
      <c r="J707" s="3">
        <f t="shared" ca="1" si="75"/>
        <v>5.9320690045248865</v>
      </c>
      <c r="K707" s="3">
        <f t="shared" ca="1" si="76"/>
        <v>21.66562964799207</v>
      </c>
    </row>
    <row r="708" spans="3:11" x14ac:dyDescent="0.35">
      <c r="C708" t="str">
        <f t="shared" ca="1" si="77"/>
        <v>4Q2022</v>
      </c>
      <c r="D708" vm="1405">
        <f ca="1"/>
        <v>44970</v>
      </c>
      <c r="E708" vm="1406">
        <f ca="1"/>
        <v>21.788</v>
      </c>
      <c r="F708" s="3">
        <f t="shared" ref="F708:F771" ca="1" si="78">VLOOKUP($C708,$M$2:$R$27,4,0)/VLOOKUP($C708,$M$2:$R$27,3,0)</f>
        <v>5.7339821573398217E-2</v>
      </c>
      <c r="G708" s="3">
        <f t="shared" ref="G708:G771" ca="1" si="79">VLOOKUP($C708,$M$2:$R$27,6,0)/VLOOKUP($C708,$M$2:$R$27,3,0)</f>
        <v>0.89618815896188164</v>
      </c>
      <c r="H708" s="3">
        <f t="shared" ref="H708:H771" ca="1" si="80">VLOOKUP($C708,$M$2:$R$27,5,0)/VLOOKUP($C708,$M$2:$R$27,3,0)</f>
        <v>0.24537712895377128</v>
      </c>
      <c r="I708" s="3">
        <f t="shared" ref="I708:I771" ca="1" si="81">$E708/(F708*4)</f>
        <v>94.995063649222061</v>
      </c>
      <c r="J708" s="3">
        <f t="shared" ref="J708:J771" ca="1" si="82">$E708/(G708*4)</f>
        <v>6.0779647058823523</v>
      </c>
      <c r="K708" s="3">
        <f t="shared" ref="K708:K771" ca="1" si="83">$E708/(H708*4)</f>
        <v>22.198482895389194</v>
      </c>
    </row>
    <row r="709" spans="3:11" x14ac:dyDescent="0.35">
      <c r="C709" t="str">
        <f t="shared" ca="1" si="77"/>
        <v>4Q2022</v>
      </c>
      <c r="D709" vm="1407">
        <f ca="1"/>
        <v>44971</v>
      </c>
      <c r="E709" vm="1408">
        <f ca="1"/>
        <v>22.971</v>
      </c>
      <c r="F709" s="3">
        <f t="shared" ca="1" si="78"/>
        <v>5.7339821573398217E-2</v>
      </c>
      <c r="G709" s="3">
        <f t="shared" ca="1" si="79"/>
        <v>0.89618815896188164</v>
      </c>
      <c r="H709" s="3">
        <f t="shared" ca="1" si="80"/>
        <v>0.24537712895377128</v>
      </c>
      <c r="I709" s="3">
        <f t="shared" ca="1" si="81"/>
        <v>100.15291018387553</v>
      </c>
      <c r="J709" s="3">
        <f t="shared" ca="1" si="82"/>
        <v>6.4079735294117643</v>
      </c>
      <c r="K709" s="3">
        <f t="shared" ca="1" si="83"/>
        <v>23.403770451165098</v>
      </c>
    </row>
    <row r="710" spans="3:11" x14ac:dyDescent="0.35">
      <c r="C710" t="str">
        <f t="shared" ca="1" si="77"/>
        <v>4Q2022</v>
      </c>
      <c r="D710" vm="1409">
        <f ca="1"/>
        <v>44972</v>
      </c>
      <c r="E710" vm="1410">
        <f ca="1"/>
        <v>22.763999999999999</v>
      </c>
      <c r="F710" s="3">
        <f t="shared" ca="1" si="78"/>
        <v>5.7339821573398217E-2</v>
      </c>
      <c r="G710" s="3">
        <f t="shared" ca="1" si="79"/>
        <v>0.89618815896188164</v>
      </c>
      <c r="H710" s="3">
        <f t="shared" ca="1" si="80"/>
        <v>0.24537712895377128</v>
      </c>
      <c r="I710" s="3">
        <f t="shared" ca="1" si="81"/>
        <v>99.250396039603956</v>
      </c>
      <c r="J710" s="3">
        <f t="shared" ca="1" si="82"/>
        <v>6.3502289592760173</v>
      </c>
      <c r="K710" s="3">
        <f t="shared" ca="1" si="83"/>
        <v>23.192870599900843</v>
      </c>
    </row>
    <row r="711" spans="3:11" x14ac:dyDescent="0.35">
      <c r="C711" t="str">
        <f t="shared" ca="1" si="77"/>
        <v>4Q2022</v>
      </c>
      <c r="D711" vm="1411">
        <f ca="1"/>
        <v>44973</v>
      </c>
      <c r="E711" vm="1412">
        <f ca="1"/>
        <v>22.001999999999999</v>
      </c>
      <c r="F711" s="3">
        <f t="shared" ca="1" si="78"/>
        <v>5.7339821573398217E-2</v>
      </c>
      <c r="G711" s="3">
        <f t="shared" ca="1" si="79"/>
        <v>0.89618815896188164</v>
      </c>
      <c r="H711" s="3">
        <f t="shared" ca="1" si="80"/>
        <v>0.24537712895377128</v>
      </c>
      <c r="I711" s="3">
        <f t="shared" ca="1" si="81"/>
        <v>95.92809759547383</v>
      </c>
      <c r="J711" s="3">
        <f t="shared" ca="1" si="82"/>
        <v>6.1376619909502255</v>
      </c>
      <c r="K711" s="3">
        <f t="shared" ca="1" si="83"/>
        <v>22.416514625681703</v>
      </c>
    </row>
    <row r="712" spans="3:11" x14ac:dyDescent="0.35">
      <c r="C712" t="str">
        <f t="shared" ca="1" si="77"/>
        <v>4Q2022</v>
      </c>
      <c r="D712" vm="1413">
        <f ca="1"/>
        <v>44974</v>
      </c>
      <c r="E712" vm="1414">
        <f ca="1"/>
        <v>21.388000000000002</v>
      </c>
      <c r="F712" s="3">
        <f t="shared" ca="1" si="78"/>
        <v>5.7339821573398217E-2</v>
      </c>
      <c r="G712" s="3">
        <f t="shared" ca="1" si="79"/>
        <v>0.89618815896188164</v>
      </c>
      <c r="H712" s="3">
        <f t="shared" ca="1" si="80"/>
        <v>0.24537712895377128</v>
      </c>
      <c r="I712" s="3">
        <f t="shared" ca="1" si="81"/>
        <v>93.251074964639329</v>
      </c>
      <c r="J712" s="3">
        <f t="shared" ca="1" si="82"/>
        <v>5.966380995475113</v>
      </c>
      <c r="K712" s="3">
        <f t="shared" ca="1" si="83"/>
        <v>21.790946950917206</v>
      </c>
    </row>
    <row r="713" spans="3:11" x14ac:dyDescent="0.35">
      <c r="C713" t="str">
        <f t="shared" ca="1" si="77"/>
        <v>4Q2022</v>
      </c>
      <c r="D713" vm="1415">
        <f ca="1"/>
        <v>44978</v>
      </c>
      <c r="E713" vm="1416">
        <f ca="1"/>
        <v>20.655000000000001</v>
      </c>
      <c r="F713" s="3">
        <f t="shared" ca="1" si="78"/>
        <v>5.7339821573398217E-2</v>
      </c>
      <c r="G713" s="3">
        <f t="shared" ca="1" si="79"/>
        <v>0.89618815896188164</v>
      </c>
      <c r="H713" s="3">
        <f t="shared" ca="1" si="80"/>
        <v>0.24537712895377128</v>
      </c>
      <c r="I713" s="3">
        <f t="shared" ca="1" si="81"/>
        <v>90.055215700141446</v>
      </c>
      <c r="J713" s="3">
        <f t="shared" ca="1" si="82"/>
        <v>5.7619038461538459</v>
      </c>
      <c r="K713" s="3">
        <f t="shared" ca="1" si="83"/>
        <v>21.044137332672289</v>
      </c>
    </row>
    <row r="714" spans="3:11" x14ac:dyDescent="0.35">
      <c r="C714" t="str">
        <f t="shared" ca="1" si="77"/>
        <v>4Q2022</v>
      </c>
      <c r="D714" vm="1417">
        <f ca="1"/>
        <v>44979</v>
      </c>
      <c r="E714" vm="1418">
        <f ca="1"/>
        <v>20.754000000000001</v>
      </c>
      <c r="F714" s="3">
        <f t="shared" ca="1" si="78"/>
        <v>5.7339821573398217E-2</v>
      </c>
      <c r="G714" s="3">
        <f t="shared" ca="1" si="79"/>
        <v>0.89618815896188164</v>
      </c>
      <c r="H714" s="3">
        <f t="shared" ca="1" si="80"/>
        <v>0.24537712895377128</v>
      </c>
      <c r="I714" s="3">
        <f t="shared" ca="1" si="81"/>
        <v>90.48685289957568</v>
      </c>
      <c r="J714" s="3">
        <f t="shared" ca="1" si="82"/>
        <v>5.789520814479638</v>
      </c>
      <c r="K714" s="3">
        <f t="shared" ca="1" si="83"/>
        <v>21.145002478929104</v>
      </c>
    </row>
    <row r="715" spans="3:11" x14ac:dyDescent="0.35">
      <c r="C715" t="str">
        <f t="shared" ca="1" si="77"/>
        <v>4Q2022</v>
      </c>
      <c r="D715" vm="1419">
        <f ca="1"/>
        <v>44980</v>
      </c>
      <c r="E715" vm="1420">
        <f ca="1"/>
        <v>23.664000000000001</v>
      </c>
      <c r="F715" s="3">
        <f t="shared" ca="1" si="78"/>
        <v>5.7339821573398217E-2</v>
      </c>
      <c r="G715" s="3">
        <f t="shared" ca="1" si="79"/>
        <v>0.89618815896188164</v>
      </c>
      <c r="H715" s="3">
        <f t="shared" ca="1" si="80"/>
        <v>0.24537712895377128</v>
      </c>
      <c r="I715" s="3">
        <f t="shared" ca="1" si="81"/>
        <v>103.17437057991513</v>
      </c>
      <c r="J715" s="3">
        <f t="shared" ca="1" si="82"/>
        <v>6.601292307692308</v>
      </c>
      <c r="K715" s="3">
        <f t="shared" ca="1" si="83"/>
        <v>24.109826474962819</v>
      </c>
    </row>
    <row r="716" spans="3:11" x14ac:dyDescent="0.35">
      <c r="C716" t="str">
        <f t="shared" ca="1" si="77"/>
        <v>4Q2022</v>
      </c>
      <c r="D716" vm="1421">
        <f ca="1"/>
        <v>44981</v>
      </c>
      <c r="E716" vm="1422">
        <f ca="1"/>
        <v>23.286000000000001</v>
      </c>
      <c r="F716" s="3">
        <f t="shared" ca="1" si="78"/>
        <v>5.7339821573398217E-2</v>
      </c>
      <c r="G716" s="3">
        <f t="shared" ca="1" si="79"/>
        <v>0.89618815896188164</v>
      </c>
      <c r="H716" s="3">
        <f t="shared" ca="1" si="80"/>
        <v>0.24537712895377128</v>
      </c>
      <c r="I716" s="3">
        <f t="shared" ca="1" si="81"/>
        <v>101.52630127298444</v>
      </c>
      <c r="J716" s="3">
        <f t="shared" ca="1" si="82"/>
        <v>6.4958457013574664</v>
      </c>
      <c r="K716" s="3">
        <f t="shared" ca="1" si="83"/>
        <v>23.724705007436789</v>
      </c>
    </row>
    <row r="717" spans="3:11" x14ac:dyDescent="0.35">
      <c r="C717" t="str">
        <f t="shared" ca="1" si="77"/>
        <v>4Q2022</v>
      </c>
      <c r="D717" vm="1423">
        <f ca="1"/>
        <v>44984</v>
      </c>
      <c r="E717" vm="1424">
        <f ca="1"/>
        <v>23.501000000000001</v>
      </c>
      <c r="F717" s="3">
        <f t="shared" ca="1" si="78"/>
        <v>5.7339821573398217E-2</v>
      </c>
      <c r="G717" s="3">
        <f t="shared" ca="1" si="79"/>
        <v>0.89618815896188164</v>
      </c>
      <c r="H717" s="3">
        <f t="shared" ca="1" si="80"/>
        <v>0.24537712895377128</v>
      </c>
      <c r="I717" s="3">
        <f t="shared" ca="1" si="81"/>
        <v>102.46369519094767</v>
      </c>
      <c r="J717" s="3">
        <f t="shared" ca="1" si="82"/>
        <v>6.5558219457013571</v>
      </c>
      <c r="K717" s="3">
        <f t="shared" ca="1" si="83"/>
        <v>23.943755577590483</v>
      </c>
    </row>
    <row r="718" spans="3:11" x14ac:dyDescent="0.35">
      <c r="C718" t="str">
        <f t="shared" ca="1" si="77"/>
        <v>4Q2022</v>
      </c>
      <c r="D718" vm="1425">
        <f ca="1"/>
        <v>44985</v>
      </c>
      <c r="E718" vm="1426">
        <f ca="1"/>
        <v>23.216000000000001</v>
      </c>
      <c r="F718" s="3">
        <f t="shared" ca="1" si="78"/>
        <v>5.7339821573398217E-2</v>
      </c>
      <c r="G718" s="3">
        <f t="shared" ca="1" si="79"/>
        <v>0.89618815896188164</v>
      </c>
      <c r="H718" s="3">
        <f t="shared" ca="1" si="80"/>
        <v>0.24537712895377128</v>
      </c>
      <c r="I718" s="3">
        <f t="shared" ca="1" si="81"/>
        <v>101.22110325318246</v>
      </c>
      <c r="J718" s="3">
        <f t="shared" ca="1" si="82"/>
        <v>6.476318552036199</v>
      </c>
      <c r="K718" s="3">
        <f t="shared" ca="1" si="83"/>
        <v>23.653386217154193</v>
      </c>
    </row>
    <row r="719" spans="3:11" x14ac:dyDescent="0.35">
      <c r="C719" t="str">
        <f t="shared" ca="1" si="77"/>
        <v>4Q2022</v>
      </c>
      <c r="D719" vm="1427">
        <f ca="1"/>
        <v>44986</v>
      </c>
      <c r="E719" vm="1428">
        <f ca="1"/>
        <v>22.698</v>
      </c>
      <c r="F719" s="3">
        <f t="shared" ca="1" si="78"/>
        <v>5.7339821573398217E-2</v>
      </c>
      <c r="G719" s="3">
        <f t="shared" ca="1" si="79"/>
        <v>0.89618815896188164</v>
      </c>
      <c r="H719" s="3">
        <f t="shared" ca="1" si="80"/>
        <v>0.24537712895377128</v>
      </c>
      <c r="I719" s="3">
        <f t="shared" ca="1" si="81"/>
        <v>98.962637906647814</v>
      </c>
      <c r="J719" s="3">
        <f t="shared" ca="1" si="82"/>
        <v>6.3318176470588234</v>
      </c>
      <c r="K719" s="3">
        <f t="shared" ca="1" si="83"/>
        <v>23.125627169062966</v>
      </c>
    </row>
    <row r="720" spans="3:11" x14ac:dyDescent="0.35">
      <c r="C720" t="str">
        <f t="shared" ca="1" si="77"/>
        <v>4Q2022</v>
      </c>
      <c r="D720" vm="1429">
        <f ca="1"/>
        <v>44987</v>
      </c>
      <c r="E720" vm="1430">
        <f ca="1"/>
        <v>23.314</v>
      </c>
      <c r="F720" s="3">
        <f t="shared" ca="1" si="78"/>
        <v>5.7339821573398217E-2</v>
      </c>
      <c r="G720" s="3">
        <f t="shared" ca="1" si="79"/>
        <v>0.89618815896188164</v>
      </c>
      <c r="H720" s="3">
        <f t="shared" ca="1" si="80"/>
        <v>0.24537712895377128</v>
      </c>
      <c r="I720" s="3">
        <f t="shared" ca="1" si="81"/>
        <v>101.64838048090523</v>
      </c>
      <c r="J720" s="3">
        <f t="shared" ca="1" si="82"/>
        <v>6.5036565610859727</v>
      </c>
      <c r="K720" s="3">
        <f t="shared" ca="1" si="83"/>
        <v>23.753232523549826</v>
      </c>
    </row>
    <row r="721" spans="3:11" x14ac:dyDescent="0.35">
      <c r="C721" t="str">
        <f t="shared" ca="1" si="77"/>
        <v>4Q2022</v>
      </c>
      <c r="D721" vm="1431">
        <f ca="1"/>
        <v>44988</v>
      </c>
      <c r="E721" vm="1432">
        <f ca="1"/>
        <v>23.89</v>
      </c>
      <c r="F721" s="3">
        <f t="shared" ca="1" si="78"/>
        <v>5.7339821573398217E-2</v>
      </c>
      <c r="G721" s="3">
        <f t="shared" ca="1" si="79"/>
        <v>0.89618815896188164</v>
      </c>
      <c r="H721" s="3">
        <f t="shared" ca="1" si="80"/>
        <v>0.24537712895377128</v>
      </c>
      <c r="I721" s="3">
        <f t="shared" ca="1" si="81"/>
        <v>104.15972418670438</v>
      </c>
      <c r="J721" s="3">
        <f t="shared" ca="1" si="82"/>
        <v>6.6643371040723975</v>
      </c>
      <c r="K721" s="3">
        <f t="shared" ca="1" si="83"/>
        <v>24.340084283589491</v>
      </c>
    </row>
    <row r="722" spans="3:11" x14ac:dyDescent="0.35">
      <c r="C722" t="str">
        <f t="shared" ca="1" si="77"/>
        <v>4Q2022</v>
      </c>
      <c r="D722" vm="1433">
        <f ca="1"/>
        <v>44991</v>
      </c>
      <c r="E722" vm="1434">
        <f ca="1"/>
        <v>23.553999999999998</v>
      </c>
      <c r="F722" s="3">
        <f t="shared" ca="1" si="78"/>
        <v>5.7339821573398217E-2</v>
      </c>
      <c r="G722" s="3">
        <f t="shared" ca="1" si="79"/>
        <v>0.89618815896188164</v>
      </c>
      <c r="H722" s="3">
        <f t="shared" ca="1" si="80"/>
        <v>0.24537712895377128</v>
      </c>
      <c r="I722" s="3">
        <f t="shared" ca="1" si="81"/>
        <v>102.69477369165487</v>
      </c>
      <c r="J722" s="3">
        <f t="shared" ca="1" si="82"/>
        <v>6.5706067873303162</v>
      </c>
      <c r="K722" s="3">
        <f t="shared" ca="1" si="83"/>
        <v>23.99775409023302</v>
      </c>
    </row>
    <row r="723" spans="3:11" x14ac:dyDescent="0.35">
      <c r="C723" t="str">
        <f t="shared" ca="1" si="77"/>
        <v>4Q2022</v>
      </c>
      <c r="D723" vm="1435">
        <f ca="1"/>
        <v>44992</v>
      </c>
      <c r="E723" vm="1436">
        <f ca="1"/>
        <v>23.288</v>
      </c>
      <c r="F723" s="3">
        <f t="shared" ca="1" si="78"/>
        <v>5.7339821573398217E-2</v>
      </c>
      <c r="G723" s="3">
        <f t="shared" ca="1" si="79"/>
        <v>0.89618815896188164</v>
      </c>
      <c r="H723" s="3">
        <f t="shared" ca="1" si="80"/>
        <v>0.24537712895377128</v>
      </c>
      <c r="I723" s="3">
        <f t="shared" ca="1" si="81"/>
        <v>101.53502121640736</v>
      </c>
      <c r="J723" s="3">
        <f t="shared" ca="1" si="82"/>
        <v>6.4964036199095023</v>
      </c>
      <c r="K723" s="3">
        <f t="shared" ca="1" si="83"/>
        <v>23.726742687159149</v>
      </c>
    </row>
    <row r="724" spans="3:11" x14ac:dyDescent="0.35">
      <c r="C724" t="str">
        <f t="shared" ca="1" si="77"/>
        <v>4Q2022</v>
      </c>
      <c r="D724" vm="1437">
        <f ca="1"/>
        <v>44993</v>
      </c>
      <c r="E724" vm="1438">
        <f ca="1"/>
        <v>24.181000000000001</v>
      </c>
      <c r="F724" s="3">
        <f t="shared" ca="1" si="78"/>
        <v>5.7339821573398217E-2</v>
      </c>
      <c r="G724" s="3">
        <f t="shared" ca="1" si="79"/>
        <v>0.89618815896188164</v>
      </c>
      <c r="H724" s="3">
        <f t="shared" ca="1" si="80"/>
        <v>0.24537712895377128</v>
      </c>
      <c r="I724" s="3">
        <f t="shared" ca="1" si="81"/>
        <v>105.42847595473833</v>
      </c>
      <c r="J724" s="3">
        <f t="shared" ca="1" si="82"/>
        <v>6.7455142533936652</v>
      </c>
      <c r="K724" s="3">
        <f t="shared" ca="1" si="83"/>
        <v>24.636566683192861</v>
      </c>
    </row>
    <row r="725" spans="3:11" x14ac:dyDescent="0.35">
      <c r="C725" t="str">
        <f t="shared" ca="1" si="77"/>
        <v>4Q2022</v>
      </c>
      <c r="D725" vm="1439">
        <f ca="1"/>
        <v>44994</v>
      </c>
      <c r="E725" vm="1440">
        <f ca="1"/>
        <v>23.436</v>
      </c>
      <c r="F725" s="3">
        <f t="shared" ca="1" si="78"/>
        <v>5.7339821573398217E-2</v>
      </c>
      <c r="G725" s="3">
        <f t="shared" ca="1" si="79"/>
        <v>0.89618815896188164</v>
      </c>
      <c r="H725" s="3">
        <f t="shared" ca="1" si="80"/>
        <v>0.24537712895377128</v>
      </c>
      <c r="I725" s="3">
        <f t="shared" ca="1" si="81"/>
        <v>102.18029702970297</v>
      </c>
      <c r="J725" s="3">
        <f t="shared" ca="1" si="82"/>
        <v>6.5376895927601808</v>
      </c>
      <c r="K725" s="3">
        <f t="shared" ca="1" si="83"/>
        <v>23.877530986613785</v>
      </c>
    </row>
    <row r="726" spans="3:11" x14ac:dyDescent="0.35">
      <c r="C726" t="str">
        <f t="shared" ca="1" si="77"/>
        <v>4Q2022</v>
      </c>
      <c r="D726" vm="1441">
        <f ca="1"/>
        <v>44995</v>
      </c>
      <c r="E726" vm="1442">
        <f ca="1"/>
        <v>22.965</v>
      </c>
      <c r="F726" s="3">
        <f t="shared" ca="1" si="78"/>
        <v>5.7339821573398217E-2</v>
      </c>
      <c r="G726" s="3">
        <f t="shared" ca="1" si="79"/>
        <v>0.89618815896188164</v>
      </c>
      <c r="H726" s="3">
        <f t="shared" ca="1" si="80"/>
        <v>0.24537712895377128</v>
      </c>
      <c r="I726" s="3">
        <f t="shared" ca="1" si="81"/>
        <v>100.12675035360678</v>
      </c>
      <c r="J726" s="3">
        <f t="shared" ca="1" si="82"/>
        <v>6.4062997737556557</v>
      </c>
      <c r="K726" s="3">
        <f t="shared" ca="1" si="83"/>
        <v>23.397657411998019</v>
      </c>
    </row>
    <row r="727" spans="3:11" x14ac:dyDescent="0.35">
      <c r="C727" t="str">
        <f t="shared" ca="1" si="77"/>
        <v>4Q2022</v>
      </c>
      <c r="D727" vm="1443">
        <f ca="1"/>
        <v>44998</v>
      </c>
      <c r="E727" vm="1444">
        <f ca="1"/>
        <v>22.966000000000001</v>
      </c>
      <c r="F727" s="3">
        <f t="shared" ca="1" si="78"/>
        <v>5.7339821573398217E-2</v>
      </c>
      <c r="G727" s="3">
        <f t="shared" ca="1" si="79"/>
        <v>0.89618815896188164</v>
      </c>
      <c r="H727" s="3">
        <f t="shared" ca="1" si="80"/>
        <v>0.24537712895377128</v>
      </c>
      <c r="I727" s="3">
        <f t="shared" ca="1" si="81"/>
        <v>100.13111032531825</v>
      </c>
      <c r="J727" s="3">
        <f t="shared" ca="1" si="82"/>
        <v>6.4065787330316741</v>
      </c>
      <c r="K727" s="3">
        <f t="shared" ca="1" si="83"/>
        <v>23.3986762518592</v>
      </c>
    </row>
    <row r="728" spans="3:11" x14ac:dyDescent="0.35">
      <c r="C728" t="str">
        <f t="shared" ca="1" si="77"/>
        <v>4Q2022</v>
      </c>
      <c r="D728" vm="1445">
        <f ca="1"/>
        <v>44999</v>
      </c>
      <c r="E728" vm="1446">
        <f ca="1"/>
        <v>24.062999999999999</v>
      </c>
      <c r="F728" s="3">
        <f t="shared" ca="1" si="78"/>
        <v>5.7339821573398217E-2</v>
      </c>
      <c r="G728" s="3">
        <f t="shared" ca="1" si="79"/>
        <v>0.89618815896188164</v>
      </c>
      <c r="H728" s="3">
        <f t="shared" ca="1" si="80"/>
        <v>0.24537712895377128</v>
      </c>
      <c r="I728" s="3">
        <f t="shared" ca="1" si="81"/>
        <v>104.91399929278641</v>
      </c>
      <c r="J728" s="3">
        <f t="shared" ca="1" si="82"/>
        <v>6.7125970588235289</v>
      </c>
      <c r="K728" s="3">
        <f t="shared" ca="1" si="83"/>
        <v>24.516343579573622</v>
      </c>
    </row>
    <row r="729" spans="3:11" x14ac:dyDescent="0.35">
      <c r="C729" t="str">
        <f t="shared" ca="1" si="77"/>
        <v>4Q2022</v>
      </c>
      <c r="D729" vm="1447">
        <f ca="1"/>
        <v>45000</v>
      </c>
      <c r="E729" vm="1448">
        <f ca="1"/>
        <v>24.228000000000002</v>
      </c>
      <c r="F729" s="3">
        <f t="shared" ca="1" si="78"/>
        <v>5.7339821573398217E-2</v>
      </c>
      <c r="G729" s="3">
        <f t="shared" ca="1" si="79"/>
        <v>0.89618815896188164</v>
      </c>
      <c r="H729" s="3">
        <f t="shared" ca="1" si="80"/>
        <v>0.24537712895377128</v>
      </c>
      <c r="I729" s="3">
        <f t="shared" ca="1" si="81"/>
        <v>105.63339462517681</v>
      </c>
      <c r="J729" s="3">
        <f t="shared" ca="1" si="82"/>
        <v>6.7586253393665157</v>
      </c>
      <c r="K729" s="3">
        <f t="shared" ca="1" si="83"/>
        <v>24.684452156668321</v>
      </c>
    </row>
    <row r="730" spans="3:11" x14ac:dyDescent="0.35">
      <c r="C730" t="str">
        <f t="shared" ca="1" si="77"/>
        <v>4Q2022</v>
      </c>
      <c r="D730" vm="1449">
        <f ca="1"/>
        <v>45001</v>
      </c>
      <c r="E730" vm="1450">
        <f ca="1"/>
        <v>25.541</v>
      </c>
      <c r="F730" s="3">
        <f t="shared" ca="1" si="78"/>
        <v>5.7339821573398217E-2</v>
      </c>
      <c r="G730" s="3">
        <f t="shared" ca="1" si="79"/>
        <v>0.89618815896188164</v>
      </c>
      <c r="H730" s="3">
        <f t="shared" ca="1" si="80"/>
        <v>0.24537712895377128</v>
      </c>
      <c r="I730" s="3">
        <f t="shared" ca="1" si="81"/>
        <v>111.35803748231966</v>
      </c>
      <c r="J730" s="3">
        <f t="shared" ca="1" si="82"/>
        <v>7.1248988687782804</v>
      </c>
      <c r="K730" s="3">
        <f t="shared" ca="1" si="83"/>
        <v>26.022188894397623</v>
      </c>
    </row>
    <row r="731" spans="3:11" x14ac:dyDescent="0.35">
      <c r="C731" t="str">
        <f t="shared" ca="1" si="77"/>
        <v>4Q2022</v>
      </c>
      <c r="D731" vm="1451">
        <f ca="1"/>
        <v>45002</v>
      </c>
      <c r="E731" vm="1452">
        <f ca="1"/>
        <v>25.725000000000001</v>
      </c>
      <c r="F731" s="3">
        <f t="shared" ca="1" si="78"/>
        <v>5.7339821573398217E-2</v>
      </c>
      <c r="G731" s="3">
        <f t="shared" ca="1" si="79"/>
        <v>0.89618815896188164</v>
      </c>
      <c r="H731" s="3">
        <f t="shared" ca="1" si="80"/>
        <v>0.24537712895377128</v>
      </c>
      <c r="I731" s="3">
        <f t="shared" ca="1" si="81"/>
        <v>112.16027227722773</v>
      </c>
      <c r="J731" s="3">
        <f t="shared" ca="1" si="82"/>
        <v>7.1762273755656105</v>
      </c>
      <c r="K731" s="3">
        <f t="shared" ca="1" si="83"/>
        <v>26.209655428854738</v>
      </c>
    </row>
    <row r="732" spans="3:11" x14ac:dyDescent="0.35">
      <c r="C732" t="str">
        <f t="shared" ca="1" si="77"/>
        <v>4Q2022</v>
      </c>
      <c r="D732" vm="1453">
        <f ca="1"/>
        <v>45005</v>
      </c>
      <c r="E732" vm="1454">
        <f ca="1"/>
        <v>25.9</v>
      </c>
      <c r="F732" s="3">
        <f t="shared" ca="1" si="78"/>
        <v>5.7339821573398217E-2</v>
      </c>
      <c r="G732" s="3">
        <f t="shared" ca="1" si="79"/>
        <v>0.89618815896188164</v>
      </c>
      <c r="H732" s="3">
        <f t="shared" ca="1" si="80"/>
        <v>0.24537712895377128</v>
      </c>
      <c r="I732" s="3">
        <f t="shared" ca="1" si="81"/>
        <v>112.92326732673267</v>
      </c>
      <c r="J732" s="3">
        <f t="shared" ca="1" si="82"/>
        <v>7.2250452488687777</v>
      </c>
      <c r="K732" s="3">
        <f t="shared" ca="1" si="83"/>
        <v>26.387952404561229</v>
      </c>
    </row>
    <row r="733" spans="3:11" x14ac:dyDescent="0.35">
      <c r="C733" t="str">
        <f t="shared" ca="1" si="77"/>
        <v>4Q2022</v>
      </c>
      <c r="D733" vm="1455">
        <f ca="1"/>
        <v>45006</v>
      </c>
      <c r="E733" vm="1456">
        <f ca="1"/>
        <v>26.199000000000002</v>
      </c>
      <c r="F733" s="3">
        <f t="shared" ca="1" si="78"/>
        <v>5.7339821573398217E-2</v>
      </c>
      <c r="G733" s="3">
        <f t="shared" ca="1" si="79"/>
        <v>0.89618815896188164</v>
      </c>
      <c r="H733" s="3">
        <f t="shared" ca="1" si="80"/>
        <v>0.24537712895377128</v>
      </c>
      <c r="I733" s="3">
        <f t="shared" ca="1" si="81"/>
        <v>114.22689886845828</v>
      </c>
      <c r="J733" s="3">
        <f t="shared" ca="1" si="82"/>
        <v>7.3084540723981899</v>
      </c>
      <c r="K733" s="3">
        <f t="shared" ca="1" si="83"/>
        <v>26.692585523054042</v>
      </c>
    </row>
    <row r="734" spans="3:11" x14ac:dyDescent="0.35">
      <c r="C734" t="str">
        <f t="shared" ca="1" si="77"/>
        <v>4Q2022</v>
      </c>
      <c r="D734" vm="1457">
        <f ca="1"/>
        <v>45007</v>
      </c>
      <c r="E734" vm="1458">
        <f ca="1"/>
        <v>26.468</v>
      </c>
      <c r="F734" s="3">
        <f t="shared" ca="1" si="78"/>
        <v>5.7339821573398217E-2</v>
      </c>
      <c r="G734" s="3">
        <f t="shared" ca="1" si="79"/>
        <v>0.89618815896188164</v>
      </c>
      <c r="H734" s="3">
        <f t="shared" ca="1" si="80"/>
        <v>0.24537712895377128</v>
      </c>
      <c r="I734" s="3">
        <f t="shared" ca="1" si="81"/>
        <v>115.39973125884016</v>
      </c>
      <c r="J734" s="3">
        <f t="shared" ca="1" si="82"/>
        <v>7.3834941176470581</v>
      </c>
      <c r="K734" s="3">
        <f t="shared" ca="1" si="83"/>
        <v>26.966653445711454</v>
      </c>
    </row>
    <row r="735" spans="3:11" x14ac:dyDescent="0.35">
      <c r="C735" t="str">
        <f t="shared" ca="1" si="77"/>
        <v>4Q2022</v>
      </c>
      <c r="D735" vm="1459">
        <f ca="1"/>
        <v>45008</v>
      </c>
      <c r="E735" vm="1460">
        <f ca="1"/>
        <v>27.190999999999999</v>
      </c>
      <c r="F735" s="3">
        <f t="shared" ca="1" si="78"/>
        <v>5.7339821573398217E-2</v>
      </c>
      <c r="G735" s="3">
        <f t="shared" ca="1" si="79"/>
        <v>0.89618815896188164</v>
      </c>
      <c r="H735" s="3">
        <f t="shared" ca="1" si="80"/>
        <v>0.24537712895377128</v>
      </c>
      <c r="I735" s="3">
        <f t="shared" ca="1" si="81"/>
        <v>118.55199080622347</v>
      </c>
      <c r="J735" s="3">
        <f t="shared" ca="1" si="82"/>
        <v>7.5851816742081439</v>
      </c>
      <c r="K735" s="3">
        <f t="shared" ca="1" si="83"/>
        <v>27.703274665344569</v>
      </c>
    </row>
    <row r="736" spans="3:11" x14ac:dyDescent="0.35">
      <c r="C736" t="str">
        <f t="shared" ca="1" si="77"/>
        <v>4Q2022</v>
      </c>
      <c r="D736" vm="1461">
        <f ca="1"/>
        <v>45009</v>
      </c>
      <c r="E736" vm="1462">
        <f ca="1"/>
        <v>26.779</v>
      </c>
      <c r="F736" s="3">
        <f t="shared" ca="1" si="78"/>
        <v>5.7339821573398217E-2</v>
      </c>
      <c r="G736" s="3">
        <f t="shared" ca="1" si="79"/>
        <v>0.89618815896188164</v>
      </c>
      <c r="H736" s="3">
        <f t="shared" ca="1" si="80"/>
        <v>0.24537712895377128</v>
      </c>
      <c r="I736" s="3">
        <f t="shared" ca="1" si="81"/>
        <v>116.75568246110325</v>
      </c>
      <c r="J736" s="3">
        <f t="shared" ca="1" si="82"/>
        <v>7.4702504524886875</v>
      </c>
      <c r="K736" s="3">
        <f t="shared" ca="1" si="83"/>
        <v>27.283512642538422</v>
      </c>
    </row>
    <row r="737" spans="3:11" x14ac:dyDescent="0.35">
      <c r="C737" t="str">
        <f t="shared" ca="1" si="77"/>
        <v>4Q2022</v>
      </c>
      <c r="D737" vm="1463">
        <f ca="1"/>
        <v>45012</v>
      </c>
      <c r="E737" vm="1464">
        <f ca="1"/>
        <v>26.530999999999999</v>
      </c>
      <c r="F737" s="3">
        <f t="shared" ca="1" si="78"/>
        <v>5.7339821573398217E-2</v>
      </c>
      <c r="G737" s="3">
        <f t="shared" ca="1" si="79"/>
        <v>0.89618815896188164</v>
      </c>
      <c r="H737" s="3">
        <f t="shared" ca="1" si="80"/>
        <v>0.24537712895377128</v>
      </c>
      <c r="I737" s="3">
        <f t="shared" ca="1" si="81"/>
        <v>115.67440947666195</v>
      </c>
      <c r="J737" s="3">
        <f t="shared" ca="1" si="82"/>
        <v>7.4010685520361985</v>
      </c>
      <c r="K737" s="3">
        <f t="shared" ca="1" si="83"/>
        <v>27.03084035696579</v>
      </c>
    </row>
    <row r="738" spans="3:11" x14ac:dyDescent="0.35">
      <c r="C738" t="str">
        <f t="shared" ca="1" si="77"/>
        <v>4Q2022</v>
      </c>
      <c r="D738" vm="1465">
        <f ca="1"/>
        <v>45013</v>
      </c>
      <c r="E738" vm="1466">
        <f ca="1"/>
        <v>26.41</v>
      </c>
      <c r="F738" s="3">
        <f t="shared" ca="1" si="78"/>
        <v>5.7339821573398217E-2</v>
      </c>
      <c r="G738" s="3">
        <f t="shared" ca="1" si="79"/>
        <v>0.89618815896188164</v>
      </c>
      <c r="H738" s="3">
        <f t="shared" ca="1" si="80"/>
        <v>0.24537712895377128</v>
      </c>
      <c r="I738" s="3">
        <f t="shared" ca="1" si="81"/>
        <v>115.14685289957568</v>
      </c>
      <c r="J738" s="3">
        <f t="shared" ca="1" si="82"/>
        <v>7.3673144796380088</v>
      </c>
      <c r="K738" s="3">
        <f t="shared" ca="1" si="83"/>
        <v>26.907560733763017</v>
      </c>
    </row>
    <row r="739" spans="3:11" x14ac:dyDescent="0.35">
      <c r="C739" t="str">
        <f t="shared" ca="1" si="77"/>
        <v>4Q2022</v>
      </c>
      <c r="D739" vm="1467">
        <f ca="1"/>
        <v>45014</v>
      </c>
      <c r="E739" vm="1468">
        <f ca="1"/>
        <v>26.984000000000002</v>
      </c>
      <c r="F739" s="3">
        <f t="shared" ca="1" si="78"/>
        <v>5.7339821573398217E-2</v>
      </c>
      <c r="G739" s="3">
        <f t="shared" ca="1" si="79"/>
        <v>0.89618815896188164</v>
      </c>
      <c r="H739" s="3">
        <f t="shared" ca="1" si="80"/>
        <v>0.24537712895377128</v>
      </c>
      <c r="I739" s="3">
        <f t="shared" ca="1" si="81"/>
        <v>117.64947666195191</v>
      </c>
      <c r="J739" s="3">
        <f t="shared" ca="1" si="82"/>
        <v>7.5274371040723986</v>
      </c>
      <c r="K739" s="3">
        <f t="shared" ca="1" si="83"/>
        <v>27.492374814080321</v>
      </c>
    </row>
    <row r="740" spans="3:11" x14ac:dyDescent="0.35">
      <c r="C740" t="str">
        <f t="shared" ca="1" si="77"/>
        <v>4Q2022</v>
      </c>
      <c r="D740" vm="1469">
        <f ca="1"/>
        <v>45015</v>
      </c>
      <c r="E740" vm="1470">
        <f ca="1"/>
        <v>27.382999999999999</v>
      </c>
      <c r="F740" s="3">
        <f t="shared" ca="1" si="78"/>
        <v>5.7339821573398217E-2</v>
      </c>
      <c r="G740" s="3">
        <f t="shared" ca="1" si="79"/>
        <v>0.89618815896188164</v>
      </c>
      <c r="H740" s="3">
        <f t="shared" ca="1" si="80"/>
        <v>0.24537712895377128</v>
      </c>
      <c r="I740" s="3">
        <f t="shared" ca="1" si="81"/>
        <v>119.38910537482319</v>
      </c>
      <c r="J740" s="3">
        <f t="shared" ca="1" si="82"/>
        <v>7.6387418552036195</v>
      </c>
      <c r="K740" s="3">
        <f t="shared" ca="1" si="83"/>
        <v>27.898891918691124</v>
      </c>
    </row>
    <row r="741" spans="3:11" x14ac:dyDescent="0.35">
      <c r="C741" t="str">
        <f t="shared" ca="1" si="77"/>
        <v>4Q2022</v>
      </c>
      <c r="D741" vm="1471">
        <f ca="1"/>
        <v>45016</v>
      </c>
      <c r="E741" vm="1472">
        <f ca="1"/>
        <v>27.777000000000001</v>
      </c>
      <c r="F741" s="3">
        <f t="shared" ca="1" si="78"/>
        <v>5.7339821573398217E-2</v>
      </c>
      <c r="G741" s="3">
        <f t="shared" ca="1" si="79"/>
        <v>0.89618815896188164</v>
      </c>
      <c r="H741" s="3">
        <f t="shared" ca="1" si="80"/>
        <v>0.24537712895377128</v>
      </c>
      <c r="I741" s="3">
        <f t="shared" ca="1" si="81"/>
        <v>121.1069342291372</v>
      </c>
      <c r="J741" s="3">
        <f t="shared" ca="1" si="82"/>
        <v>7.748651809954751</v>
      </c>
      <c r="K741" s="3">
        <f t="shared" ca="1" si="83"/>
        <v>28.300314823996036</v>
      </c>
    </row>
    <row r="742" spans="3:11" x14ac:dyDescent="0.35">
      <c r="C742" t="str">
        <f t="shared" ca="1" si="77"/>
        <v>4Q2022</v>
      </c>
      <c r="D742" vm="1473">
        <f ca="1"/>
        <v>45019</v>
      </c>
      <c r="E742" vm="1474">
        <f ca="1"/>
        <v>27.965</v>
      </c>
      <c r="F742" s="3">
        <f t="shared" ca="1" si="78"/>
        <v>5.7339821573398217E-2</v>
      </c>
      <c r="G742" s="3">
        <f t="shared" ca="1" si="79"/>
        <v>0.89618815896188164</v>
      </c>
      <c r="H742" s="3">
        <f t="shared" ca="1" si="80"/>
        <v>0.24537712895377128</v>
      </c>
      <c r="I742" s="3">
        <f t="shared" ca="1" si="81"/>
        <v>121.92660891089109</v>
      </c>
      <c r="J742" s="3">
        <f t="shared" ca="1" si="82"/>
        <v>7.801096153846153</v>
      </c>
      <c r="K742" s="3">
        <f t="shared" ca="1" si="83"/>
        <v>28.491856717897868</v>
      </c>
    </row>
    <row r="743" spans="3:11" x14ac:dyDescent="0.35">
      <c r="C743" t="str">
        <f t="shared" ca="1" si="77"/>
        <v>4Q2022</v>
      </c>
      <c r="D743" vm="1475">
        <f ca="1"/>
        <v>45020</v>
      </c>
      <c r="E743" vm="1476">
        <f ca="1"/>
        <v>27.452999999999999</v>
      </c>
      <c r="F743" s="3">
        <f t="shared" ca="1" si="78"/>
        <v>5.7339821573398217E-2</v>
      </c>
      <c r="G743" s="3">
        <f t="shared" ca="1" si="79"/>
        <v>0.89618815896188164</v>
      </c>
      <c r="H743" s="3">
        <f t="shared" ca="1" si="80"/>
        <v>0.24537712895377128</v>
      </c>
      <c r="I743" s="3">
        <f t="shared" ca="1" si="81"/>
        <v>119.69430339462517</v>
      </c>
      <c r="J743" s="3">
        <f t="shared" ca="1" si="82"/>
        <v>7.658269004524886</v>
      </c>
      <c r="K743" s="3">
        <f t="shared" ca="1" si="83"/>
        <v>27.970210708973724</v>
      </c>
    </row>
    <row r="744" spans="3:11" x14ac:dyDescent="0.35">
      <c r="C744" t="str">
        <f t="shared" ca="1" si="77"/>
        <v>4Q2022</v>
      </c>
      <c r="D744" vm="1477">
        <f ca="1"/>
        <v>45021</v>
      </c>
      <c r="E744" vm="1478">
        <f ca="1"/>
        <v>26.881</v>
      </c>
      <c r="F744" s="3">
        <f t="shared" ca="1" si="78"/>
        <v>5.7339821573398217E-2</v>
      </c>
      <c r="G744" s="3">
        <f t="shared" ca="1" si="79"/>
        <v>0.89618815896188164</v>
      </c>
      <c r="H744" s="3">
        <f t="shared" ca="1" si="80"/>
        <v>0.24537712895377128</v>
      </c>
      <c r="I744" s="3">
        <f t="shared" ca="1" si="81"/>
        <v>117.20039957567185</v>
      </c>
      <c r="J744" s="3">
        <f t="shared" ca="1" si="82"/>
        <v>7.4987042986425338</v>
      </c>
      <c r="K744" s="3">
        <f t="shared" ca="1" si="83"/>
        <v>27.387434308378783</v>
      </c>
    </row>
    <row r="745" spans="3:11" x14ac:dyDescent="0.35">
      <c r="C745" t="str">
        <f t="shared" ca="1" si="77"/>
        <v>4Q2022</v>
      </c>
      <c r="D745" vm="1479">
        <f ca="1"/>
        <v>45022</v>
      </c>
      <c r="E745" vm="1480">
        <f ca="1"/>
        <v>27.036999999999999</v>
      </c>
      <c r="F745" s="3">
        <f t="shared" ca="1" si="78"/>
        <v>5.7339821573398217E-2</v>
      </c>
      <c r="G745" s="3">
        <f t="shared" ca="1" si="79"/>
        <v>0.89618815896188164</v>
      </c>
      <c r="H745" s="3">
        <f t="shared" ca="1" si="80"/>
        <v>0.24537712895377128</v>
      </c>
      <c r="I745" s="3">
        <f t="shared" ca="1" si="81"/>
        <v>117.88055516265912</v>
      </c>
      <c r="J745" s="3">
        <f t="shared" ca="1" si="82"/>
        <v>7.5422219457013568</v>
      </c>
      <c r="K745" s="3">
        <f t="shared" ca="1" si="83"/>
        <v>27.546373326722854</v>
      </c>
    </row>
    <row r="746" spans="3:11" x14ac:dyDescent="0.35">
      <c r="C746" t="str">
        <f t="shared" ca="1" si="77"/>
        <v>4Q2022</v>
      </c>
      <c r="D746" vm="1481">
        <f ca="1"/>
        <v>45026</v>
      </c>
      <c r="E746" vm="1482">
        <f ca="1"/>
        <v>27.579000000000001</v>
      </c>
      <c r="F746" s="3">
        <f t="shared" ca="1" si="78"/>
        <v>5.7339821573398217E-2</v>
      </c>
      <c r="G746" s="3">
        <f t="shared" ca="1" si="79"/>
        <v>0.89618815896188164</v>
      </c>
      <c r="H746" s="3">
        <f t="shared" ca="1" si="80"/>
        <v>0.24537712895377128</v>
      </c>
      <c r="I746" s="3">
        <f t="shared" ca="1" si="81"/>
        <v>120.24365983026874</v>
      </c>
      <c r="J746" s="3">
        <f t="shared" ca="1" si="82"/>
        <v>7.6934178733031668</v>
      </c>
      <c r="K746" s="3">
        <f t="shared" ca="1" si="83"/>
        <v>28.098584531482402</v>
      </c>
    </row>
    <row r="747" spans="3:11" x14ac:dyDescent="0.35">
      <c r="C747" t="str">
        <f t="shared" ca="1" si="77"/>
        <v>4Q2022</v>
      </c>
      <c r="D747" vm="1483">
        <f ca="1"/>
        <v>45027</v>
      </c>
      <c r="E747" vm="1484">
        <f ca="1"/>
        <v>27.169</v>
      </c>
      <c r="F747" s="3">
        <f t="shared" ca="1" si="78"/>
        <v>5.7339821573398217E-2</v>
      </c>
      <c r="G747" s="3">
        <f t="shared" ca="1" si="79"/>
        <v>0.89618815896188164</v>
      </c>
      <c r="H747" s="3">
        <f t="shared" ca="1" si="80"/>
        <v>0.24537712895377128</v>
      </c>
      <c r="I747" s="3">
        <f t="shared" ca="1" si="81"/>
        <v>118.45607142857143</v>
      </c>
      <c r="J747" s="3">
        <f t="shared" ca="1" si="82"/>
        <v>7.5790445701357463</v>
      </c>
      <c r="K747" s="3">
        <f t="shared" ca="1" si="83"/>
        <v>27.680860188398611</v>
      </c>
    </row>
    <row r="748" spans="3:11" x14ac:dyDescent="0.35">
      <c r="C748" t="str">
        <f t="shared" ca="1" si="77"/>
        <v>4Q2022</v>
      </c>
      <c r="D748" vm="1485">
        <f ca="1"/>
        <v>45028</v>
      </c>
      <c r="E748" vm="911">
        <f ca="1"/>
        <v>26.495000000000001</v>
      </c>
      <c r="F748" s="3">
        <f t="shared" ca="1" si="78"/>
        <v>5.7339821573398217E-2</v>
      </c>
      <c r="G748" s="3">
        <f t="shared" ca="1" si="79"/>
        <v>0.89618815896188164</v>
      </c>
      <c r="H748" s="3">
        <f t="shared" ca="1" si="80"/>
        <v>0.24537712895377128</v>
      </c>
      <c r="I748" s="3">
        <f t="shared" ca="1" si="81"/>
        <v>115.5174504950495</v>
      </c>
      <c r="J748" s="3">
        <f t="shared" ca="1" si="82"/>
        <v>7.3910260180995477</v>
      </c>
      <c r="K748" s="3">
        <f t="shared" ca="1" si="83"/>
        <v>26.994162121963313</v>
      </c>
    </row>
    <row r="749" spans="3:11" x14ac:dyDescent="0.35">
      <c r="C749" t="str">
        <f t="shared" ca="1" si="77"/>
        <v>4Q2022</v>
      </c>
      <c r="D749" vm="1486">
        <f ca="1"/>
        <v>45029</v>
      </c>
      <c r="E749" vm="1487">
        <f ca="1"/>
        <v>26.463000000000001</v>
      </c>
      <c r="F749" s="3">
        <f t="shared" ca="1" si="78"/>
        <v>5.7339821573398217E-2</v>
      </c>
      <c r="G749" s="3">
        <f t="shared" ca="1" si="79"/>
        <v>0.89618815896188164</v>
      </c>
      <c r="H749" s="3">
        <f t="shared" ca="1" si="80"/>
        <v>0.24537712895377128</v>
      </c>
      <c r="I749" s="3">
        <f t="shared" ca="1" si="81"/>
        <v>115.37793140028289</v>
      </c>
      <c r="J749" s="3">
        <f t="shared" ca="1" si="82"/>
        <v>7.3820993212669679</v>
      </c>
      <c r="K749" s="3">
        <f t="shared" ca="1" si="83"/>
        <v>26.961559246405553</v>
      </c>
    </row>
    <row r="750" spans="3:11" x14ac:dyDescent="0.35">
      <c r="C750" t="str">
        <f t="shared" ca="1" si="77"/>
        <v>4Q2022</v>
      </c>
      <c r="D750" vm="1488">
        <f ca="1"/>
        <v>45030</v>
      </c>
      <c r="E750" vm="1489">
        <f ca="1"/>
        <v>26.757999999999999</v>
      </c>
      <c r="F750" s="3">
        <f t="shared" ca="1" si="78"/>
        <v>5.7339821573398217E-2</v>
      </c>
      <c r="G750" s="3">
        <f t="shared" ca="1" si="79"/>
        <v>0.89618815896188164</v>
      </c>
      <c r="H750" s="3">
        <f t="shared" ca="1" si="80"/>
        <v>0.24537712895377128</v>
      </c>
      <c r="I750" s="3">
        <f t="shared" ca="1" si="81"/>
        <v>116.66412305516265</v>
      </c>
      <c r="J750" s="3">
        <f t="shared" ca="1" si="82"/>
        <v>7.4643923076923073</v>
      </c>
      <c r="K750" s="3">
        <f t="shared" ca="1" si="83"/>
        <v>27.262117005453643</v>
      </c>
    </row>
    <row r="751" spans="3:11" x14ac:dyDescent="0.35">
      <c r="C751" t="str">
        <f t="shared" ca="1" si="77"/>
        <v>4Q2022</v>
      </c>
      <c r="D751" vm="1490">
        <f ca="1"/>
        <v>45033</v>
      </c>
      <c r="E751" vm="1491">
        <f ca="1"/>
        <v>27.001999999999999</v>
      </c>
      <c r="F751" s="3">
        <f t="shared" ca="1" si="78"/>
        <v>5.7339821573398217E-2</v>
      </c>
      <c r="G751" s="3">
        <f t="shared" ca="1" si="79"/>
        <v>0.89618815896188164</v>
      </c>
      <c r="H751" s="3">
        <f t="shared" ca="1" si="80"/>
        <v>0.24537712895377128</v>
      </c>
      <c r="I751" s="3">
        <f t="shared" ca="1" si="81"/>
        <v>117.72795615275813</v>
      </c>
      <c r="J751" s="3">
        <f t="shared" ca="1" si="82"/>
        <v>7.5324583710407236</v>
      </c>
      <c r="K751" s="3">
        <f t="shared" ca="1" si="83"/>
        <v>27.510713931581556</v>
      </c>
    </row>
    <row r="752" spans="3:11" x14ac:dyDescent="0.35">
      <c r="C752" t="str">
        <f t="shared" ca="1" si="77"/>
        <v>4Q2022</v>
      </c>
      <c r="D752" vm="1492">
        <f ca="1"/>
        <v>45034</v>
      </c>
      <c r="E752" vm="1493">
        <f ca="1"/>
        <v>27.667000000000002</v>
      </c>
      <c r="F752" s="3">
        <f t="shared" ca="1" si="78"/>
        <v>5.7339821573398217E-2</v>
      </c>
      <c r="G752" s="3">
        <f t="shared" ca="1" si="79"/>
        <v>0.89618815896188164</v>
      </c>
      <c r="H752" s="3">
        <f t="shared" ca="1" si="80"/>
        <v>0.24537712895377128</v>
      </c>
      <c r="I752" s="3">
        <f t="shared" ca="1" si="81"/>
        <v>120.62733734087695</v>
      </c>
      <c r="J752" s="3">
        <f t="shared" ca="1" si="82"/>
        <v>7.7179662895927601</v>
      </c>
      <c r="K752" s="3">
        <f t="shared" ca="1" si="83"/>
        <v>28.18824243926624</v>
      </c>
    </row>
    <row r="753" spans="3:11" x14ac:dyDescent="0.35">
      <c r="C753" t="str">
        <f t="shared" ca="1" si="77"/>
        <v>4Q2022</v>
      </c>
      <c r="D753" vm="1494">
        <f ca="1"/>
        <v>45035</v>
      </c>
      <c r="E753" vm="1495">
        <f ca="1"/>
        <v>27.931000000000001</v>
      </c>
      <c r="F753" s="3">
        <f t="shared" ca="1" si="78"/>
        <v>5.7339821573398217E-2</v>
      </c>
      <c r="G753" s="3">
        <f t="shared" ca="1" si="79"/>
        <v>0.89618815896188164</v>
      </c>
      <c r="H753" s="3">
        <f t="shared" ca="1" si="80"/>
        <v>0.24537712895377128</v>
      </c>
      <c r="I753" s="3">
        <f t="shared" ca="1" si="81"/>
        <v>121.77836987270156</v>
      </c>
      <c r="J753" s="3">
        <f t="shared" ca="1" si="82"/>
        <v>7.7916115384615381</v>
      </c>
      <c r="K753" s="3">
        <f t="shared" ca="1" si="83"/>
        <v>28.457216162617751</v>
      </c>
    </row>
    <row r="754" spans="3:11" x14ac:dyDescent="0.35">
      <c r="C754" t="str">
        <f t="shared" ca="1" si="77"/>
        <v>4Q2022</v>
      </c>
      <c r="D754" vm="1496">
        <f ca="1"/>
        <v>45036</v>
      </c>
      <c r="E754" vm="1497">
        <f ca="1"/>
        <v>27.103999999999999</v>
      </c>
      <c r="F754" s="3">
        <f t="shared" ca="1" si="78"/>
        <v>5.7339821573398217E-2</v>
      </c>
      <c r="G754" s="3">
        <f t="shared" ca="1" si="79"/>
        <v>0.89618815896188164</v>
      </c>
      <c r="H754" s="3">
        <f t="shared" ca="1" si="80"/>
        <v>0.24537712895377128</v>
      </c>
      <c r="I754" s="3">
        <f t="shared" ca="1" si="81"/>
        <v>118.17267326732673</v>
      </c>
      <c r="J754" s="3">
        <f t="shared" ca="1" si="82"/>
        <v>7.5609122171945691</v>
      </c>
      <c r="K754" s="3">
        <f t="shared" ca="1" si="83"/>
        <v>27.614635597421913</v>
      </c>
    </row>
    <row r="755" spans="3:11" x14ac:dyDescent="0.35">
      <c r="C755" t="str">
        <f t="shared" ca="1" si="77"/>
        <v>4Q2022</v>
      </c>
      <c r="D755" vm="1498">
        <f ca="1"/>
        <v>45037</v>
      </c>
      <c r="E755" vm="1499">
        <f ca="1"/>
        <v>27.119</v>
      </c>
      <c r="F755" s="3">
        <f t="shared" ca="1" si="78"/>
        <v>5.7339821573398217E-2</v>
      </c>
      <c r="G755" s="3">
        <f t="shared" ca="1" si="79"/>
        <v>0.89618815896188164</v>
      </c>
      <c r="H755" s="3">
        <f t="shared" ca="1" si="80"/>
        <v>0.24537712895377128</v>
      </c>
      <c r="I755" s="3">
        <f t="shared" ca="1" si="81"/>
        <v>118.23807284299858</v>
      </c>
      <c r="J755" s="3">
        <f t="shared" ca="1" si="82"/>
        <v>7.5650966063348415</v>
      </c>
      <c r="K755" s="3">
        <f t="shared" ca="1" si="83"/>
        <v>27.629918195339613</v>
      </c>
    </row>
    <row r="756" spans="3:11" x14ac:dyDescent="0.35">
      <c r="C756" t="str">
        <f t="shared" ca="1" si="77"/>
        <v>4Q2022</v>
      </c>
      <c r="D756" vm="1500">
        <f ca="1"/>
        <v>45040</v>
      </c>
      <c r="E756" vm="1501">
        <f ca="1"/>
        <v>27.042000000000002</v>
      </c>
      <c r="F756" s="3">
        <f t="shared" ca="1" si="78"/>
        <v>5.7339821573398217E-2</v>
      </c>
      <c r="G756" s="3">
        <f t="shared" ca="1" si="79"/>
        <v>0.89618815896188164</v>
      </c>
      <c r="H756" s="3">
        <f t="shared" ca="1" si="80"/>
        <v>0.24537712895377128</v>
      </c>
      <c r="I756" s="3">
        <f t="shared" ca="1" si="81"/>
        <v>117.90235502121641</v>
      </c>
      <c r="J756" s="3">
        <f t="shared" ca="1" si="82"/>
        <v>7.5436167420814479</v>
      </c>
      <c r="K756" s="3">
        <f t="shared" ca="1" si="83"/>
        <v>27.551467526028759</v>
      </c>
    </row>
    <row r="757" spans="3:11" x14ac:dyDescent="0.35">
      <c r="C757" t="str">
        <f t="shared" ca="1" si="77"/>
        <v>4Q2022</v>
      </c>
      <c r="D757" vm="1502">
        <f ca="1"/>
        <v>45041</v>
      </c>
      <c r="E757" vm="1503">
        <f ca="1"/>
        <v>26.241</v>
      </c>
      <c r="F757" s="3">
        <f t="shared" ca="1" si="78"/>
        <v>5.7339821573398217E-2</v>
      </c>
      <c r="G757" s="3">
        <f t="shared" ca="1" si="79"/>
        <v>0.89618815896188164</v>
      </c>
      <c r="H757" s="3">
        <f t="shared" ca="1" si="80"/>
        <v>0.24537712895377128</v>
      </c>
      <c r="I757" s="3">
        <f t="shared" ca="1" si="81"/>
        <v>114.41001768033946</v>
      </c>
      <c r="J757" s="3">
        <f t="shared" ca="1" si="82"/>
        <v>7.3201703619909493</v>
      </c>
      <c r="K757" s="3">
        <f t="shared" ca="1" si="83"/>
        <v>26.735376797223601</v>
      </c>
    </row>
    <row r="758" spans="3:11" x14ac:dyDescent="0.35">
      <c r="C758" t="str">
        <f t="shared" ca="1" si="77"/>
        <v>4Q2022</v>
      </c>
      <c r="D758" vm="1504">
        <f ca="1"/>
        <v>45042</v>
      </c>
      <c r="E758" vm="1505">
        <f ca="1"/>
        <v>26.956</v>
      </c>
      <c r="F758" s="3">
        <f t="shared" ca="1" si="78"/>
        <v>5.7339821573398217E-2</v>
      </c>
      <c r="G758" s="3">
        <f t="shared" ca="1" si="79"/>
        <v>0.89618815896188164</v>
      </c>
      <c r="H758" s="3">
        <f t="shared" ca="1" si="80"/>
        <v>0.24537712895377128</v>
      </c>
      <c r="I758" s="3">
        <f t="shared" ca="1" si="81"/>
        <v>117.52739745403112</v>
      </c>
      <c r="J758" s="3">
        <f t="shared" ca="1" si="82"/>
        <v>7.5196262443438906</v>
      </c>
      <c r="K758" s="3">
        <f t="shared" ca="1" si="83"/>
        <v>27.463847297967277</v>
      </c>
    </row>
    <row r="759" spans="3:11" x14ac:dyDescent="0.35">
      <c r="C759" t="str">
        <f t="shared" ca="1" si="77"/>
        <v>4Q2022</v>
      </c>
      <c r="D759" vm="1506">
        <f ca="1"/>
        <v>45043</v>
      </c>
      <c r="E759" vm="1507">
        <f ca="1"/>
        <v>27.225999999999999</v>
      </c>
      <c r="F759" s="3">
        <f t="shared" ca="1" si="78"/>
        <v>5.7339821573398217E-2</v>
      </c>
      <c r="G759" s="3">
        <f t="shared" ca="1" si="79"/>
        <v>0.89618815896188164</v>
      </c>
      <c r="H759" s="3">
        <f t="shared" ca="1" si="80"/>
        <v>0.24537712895377128</v>
      </c>
      <c r="I759" s="3">
        <f t="shared" ca="1" si="81"/>
        <v>118.70458981612447</v>
      </c>
      <c r="J759" s="3">
        <f t="shared" ca="1" si="82"/>
        <v>7.5949452488687772</v>
      </c>
      <c r="K759" s="3">
        <f t="shared" ca="1" si="83"/>
        <v>27.738934060485871</v>
      </c>
    </row>
    <row r="760" spans="3:11" x14ac:dyDescent="0.35">
      <c r="C760" t="str">
        <f t="shared" ca="1" si="77"/>
        <v>4Q2022</v>
      </c>
      <c r="D760" vm="1508">
        <f ca="1"/>
        <v>45044</v>
      </c>
      <c r="E760" vm="1509">
        <f ca="1"/>
        <v>27.748999999999999</v>
      </c>
      <c r="F760" s="3">
        <f t="shared" ca="1" si="78"/>
        <v>5.7339821573398217E-2</v>
      </c>
      <c r="G760" s="3">
        <f t="shared" ca="1" si="79"/>
        <v>0.89618815896188164</v>
      </c>
      <c r="H760" s="3">
        <f t="shared" ca="1" si="80"/>
        <v>0.24537712895377128</v>
      </c>
      <c r="I760" s="3">
        <f t="shared" ca="1" si="81"/>
        <v>120.9848550212164</v>
      </c>
      <c r="J760" s="3">
        <f t="shared" ca="1" si="82"/>
        <v>7.7408409502262439</v>
      </c>
      <c r="K760" s="3">
        <f t="shared" ca="1" si="83"/>
        <v>28.271787307882995</v>
      </c>
    </row>
    <row r="761" spans="3:11" x14ac:dyDescent="0.35">
      <c r="C761" t="str">
        <f t="shared" ca="1" si="77"/>
        <v>1Q2023</v>
      </c>
      <c r="D761" vm="1510">
        <f ca="1"/>
        <v>45047</v>
      </c>
      <c r="E761" vm="1511">
        <f ca="1"/>
        <v>28.91</v>
      </c>
      <c r="F761" s="3">
        <f t="shared" ca="1" si="78"/>
        <v>8.2612211888394668E-2</v>
      </c>
      <c r="G761" s="3">
        <f t="shared" ca="1" si="79"/>
        <v>0.99150828952689041</v>
      </c>
      <c r="H761" s="3">
        <f t="shared" ca="1" si="80"/>
        <v>0.29082086534573393</v>
      </c>
      <c r="I761" s="3">
        <f t="shared" ca="1" si="81"/>
        <v>87.487065589818883</v>
      </c>
      <c r="J761" s="3">
        <f t="shared" ca="1" si="82"/>
        <v>7.2893994698205544</v>
      </c>
      <c r="K761" s="3">
        <f t="shared" ca="1" si="83"/>
        <v>24.852068270300332</v>
      </c>
    </row>
    <row r="762" spans="3:11" x14ac:dyDescent="0.35">
      <c r="C762" t="str">
        <f t="shared" ca="1" si="77"/>
        <v>1Q2023</v>
      </c>
      <c r="D762" vm="1512">
        <f ca="1"/>
        <v>45048</v>
      </c>
      <c r="E762" vm="1513">
        <f ca="1"/>
        <v>28.21</v>
      </c>
      <c r="F762" s="3">
        <f t="shared" ca="1" si="78"/>
        <v>8.2612211888394668E-2</v>
      </c>
      <c r="G762" s="3">
        <f t="shared" ca="1" si="79"/>
        <v>0.99150828952689041</v>
      </c>
      <c r="H762" s="3">
        <f t="shared" ca="1" si="80"/>
        <v>0.29082086534573393</v>
      </c>
      <c r="I762" s="3">
        <f t="shared" ca="1" si="81"/>
        <v>85.368734703866863</v>
      </c>
      <c r="J762" s="3">
        <f t="shared" ca="1" si="82"/>
        <v>7.112900693311583</v>
      </c>
      <c r="K762" s="3">
        <f t="shared" ca="1" si="83"/>
        <v>24.250323275862069</v>
      </c>
    </row>
    <row r="763" spans="3:11" x14ac:dyDescent="0.35">
      <c r="C763" t="str">
        <f t="shared" ca="1" si="77"/>
        <v>1Q2023</v>
      </c>
      <c r="D763" vm="1514">
        <f ca="1"/>
        <v>45049</v>
      </c>
      <c r="E763" vm="1515">
        <f ca="1"/>
        <v>27.802</v>
      </c>
      <c r="F763" s="3">
        <f t="shared" ca="1" si="78"/>
        <v>8.2612211888394668E-2</v>
      </c>
      <c r="G763" s="3">
        <f t="shared" ca="1" si="79"/>
        <v>0.99150828952689041</v>
      </c>
      <c r="H763" s="3">
        <f t="shared" ca="1" si="80"/>
        <v>0.29082086534573393</v>
      </c>
      <c r="I763" s="3">
        <f t="shared" ca="1" si="81"/>
        <v>84.134050416054819</v>
      </c>
      <c r="J763" s="3">
        <f t="shared" ca="1" si="82"/>
        <v>7.0100271207177816</v>
      </c>
      <c r="K763" s="3">
        <f t="shared" ca="1" si="83"/>
        <v>23.899591907675195</v>
      </c>
    </row>
    <row r="764" spans="3:11" x14ac:dyDescent="0.35">
      <c r="C764" t="str">
        <f t="shared" ca="1" si="77"/>
        <v>1Q2023</v>
      </c>
      <c r="D764" vm="1516">
        <f ca="1"/>
        <v>45050</v>
      </c>
      <c r="E764" vm="1517">
        <f ca="1"/>
        <v>27.562000000000001</v>
      </c>
      <c r="F764" s="3">
        <f t="shared" ca="1" si="78"/>
        <v>8.2612211888394668E-2</v>
      </c>
      <c r="G764" s="3">
        <f t="shared" ca="1" si="79"/>
        <v>0.99150828952689041</v>
      </c>
      <c r="H764" s="3">
        <f t="shared" ca="1" si="80"/>
        <v>0.29082086534573393</v>
      </c>
      <c r="I764" s="3">
        <f t="shared" ca="1" si="81"/>
        <v>83.407765540871267</v>
      </c>
      <c r="J764" s="3">
        <f t="shared" ca="1" si="82"/>
        <v>6.949513254486134</v>
      </c>
      <c r="K764" s="3">
        <f t="shared" ca="1" si="83"/>
        <v>23.693279338153506</v>
      </c>
    </row>
    <row r="765" spans="3:11" x14ac:dyDescent="0.35">
      <c r="C765" t="str">
        <f t="shared" ca="1" si="77"/>
        <v>1Q2023</v>
      </c>
      <c r="D765" vm="1518">
        <f ca="1"/>
        <v>45051</v>
      </c>
      <c r="E765" vm="1519">
        <f ca="1"/>
        <v>28.68</v>
      </c>
      <c r="F765" s="3">
        <f t="shared" ca="1" si="78"/>
        <v>8.2612211888394668E-2</v>
      </c>
      <c r="G765" s="3">
        <f t="shared" ca="1" si="79"/>
        <v>0.99150828952689041</v>
      </c>
      <c r="H765" s="3">
        <f t="shared" ca="1" si="80"/>
        <v>0.29082086534573393</v>
      </c>
      <c r="I765" s="3">
        <f t="shared" ca="1" si="81"/>
        <v>86.791042584434649</v>
      </c>
      <c r="J765" s="3">
        <f t="shared" ca="1" si="82"/>
        <v>7.2314070146818921</v>
      </c>
      <c r="K765" s="3">
        <f t="shared" ca="1" si="83"/>
        <v>24.654352057842047</v>
      </c>
    </row>
    <row r="766" spans="3:11" x14ac:dyDescent="0.35">
      <c r="C766" t="str">
        <f t="shared" ca="1" si="77"/>
        <v>1Q2023</v>
      </c>
      <c r="D766" vm="1520">
        <f ca="1"/>
        <v>45054</v>
      </c>
      <c r="E766" vm="1521">
        <f ca="1"/>
        <v>29.151</v>
      </c>
      <c r="F766" s="3">
        <f t="shared" ca="1" si="78"/>
        <v>8.2612211888394668E-2</v>
      </c>
      <c r="G766" s="3">
        <f t="shared" ca="1" si="79"/>
        <v>0.99150828952689041</v>
      </c>
      <c r="H766" s="3">
        <f t="shared" ca="1" si="80"/>
        <v>0.29082086534573393</v>
      </c>
      <c r="I766" s="3">
        <f t="shared" ca="1" si="81"/>
        <v>88.216376651982372</v>
      </c>
      <c r="J766" s="3">
        <f t="shared" ca="1" si="82"/>
        <v>7.350165477161501</v>
      </c>
      <c r="K766" s="3">
        <f t="shared" ca="1" si="83"/>
        <v>25.059240475528366</v>
      </c>
    </row>
    <row r="767" spans="3:11" x14ac:dyDescent="0.35">
      <c r="C767" t="str">
        <f t="shared" ca="1" si="77"/>
        <v>1Q2023</v>
      </c>
      <c r="D767" vm="1522">
        <f ca="1"/>
        <v>45055</v>
      </c>
      <c r="E767" vm="1523">
        <f ca="1"/>
        <v>28.571000000000002</v>
      </c>
      <c r="F767" s="3">
        <f t="shared" ca="1" si="78"/>
        <v>8.2612211888394668E-2</v>
      </c>
      <c r="G767" s="3">
        <f t="shared" ca="1" si="79"/>
        <v>0.99150828952689041</v>
      </c>
      <c r="H767" s="3">
        <f t="shared" ca="1" si="80"/>
        <v>0.29082086534573393</v>
      </c>
      <c r="I767" s="3">
        <f t="shared" ca="1" si="81"/>
        <v>86.461188203622129</v>
      </c>
      <c r="J767" s="3">
        <f t="shared" ca="1" si="82"/>
        <v>7.203923633768353</v>
      </c>
      <c r="K767" s="3">
        <f t="shared" ca="1" si="83"/>
        <v>24.560651765850945</v>
      </c>
    </row>
    <row r="768" spans="3:11" x14ac:dyDescent="0.35">
      <c r="C768" t="str">
        <f t="shared" ca="1" si="77"/>
        <v>1Q2023</v>
      </c>
      <c r="D768" vm="1524">
        <f ca="1"/>
        <v>45056</v>
      </c>
      <c r="E768" vm="1525">
        <f ca="1"/>
        <v>28.885000000000002</v>
      </c>
      <c r="F768" s="3">
        <f t="shared" ca="1" si="78"/>
        <v>8.2612211888394668E-2</v>
      </c>
      <c r="G768" s="3">
        <f t="shared" ca="1" si="79"/>
        <v>0.99150828952689041</v>
      </c>
      <c r="H768" s="3">
        <f t="shared" ca="1" si="80"/>
        <v>0.29082086534573393</v>
      </c>
      <c r="I768" s="3">
        <f t="shared" ca="1" si="81"/>
        <v>87.411410915320602</v>
      </c>
      <c r="J768" s="3">
        <f t="shared" ca="1" si="82"/>
        <v>7.2830959420880914</v>
      </c>
      <c r="K768" s="3">
        <f t="shared" ca="1" si="83"/>
        <v>24.830577377641827</v>
      </c>
    </row>
    <row r="769" spans="3:11" x14ac:dyDescent="0.35">
      <c r="C769" t="str">
        <f t="shared" ca="1" si="77"/>
        <v>1Q2023</v>
      </c>
      <c r="D769" vm="1526">
        <f ca="1"/>
        <v>45057</v>
      </c>
      <c r="E769" vm="1527">
        <f ca="1"/>
        <v>28.577999999999999</v>
      </c>
      <c r="F769" s="3">
        <f t="shared" ca="1" si="78"/>
        <v>8.2612211888394668E-2</v>
      </c>
      <c r="G769" s="3">
        <f t="shared" ca="1" si="79"/>
        <v>0.99150828952689041</v>
      </c>
      <c r="H769" s="3">
        <f t="shared" ca="1" si="80"/>
        <v>0.29082086534573393</v>
      </c>
      <c r="I769" s="3">
        <f t="shared" ca="1" si="81"/>
        <v>86.482371512481635</v>
      </c>
      <c r="J769" s="3">
        <f t="shared" ca="1" si="82"/>
        <v>7.2056886215334419</v>
      </c>
      <c r="K769" s="3">
        <f t="shared" ca="1" si="83"/>
        <v>24.566669215795329</v>
      </c>
    </row>
    <row r="770" spans="3:11" x14ac:dyDescent="0.35">
      <c r="C770" t="str">
        <f t="shared" ca="1" si="77"/>
        <v>1Q2023</v>
      </c>
      <c r="D770" vm="1528">
        <f ca="1"/>
        <v>45058</v>
      </c>
      <c r="E770" vm="1529">
        <f ca="1"/>
        <v>28.34</v>
      </c>
      <c r="F770" s="3">
        <f t="shared" ca="1" si="78"/>
        <v>8.2612211888394668E-2</v>
      </c>
      <c r="G770" s="3">
        <f t="shared" ca="1" si="79"/>
        <v>0.99150828952689041</v>
      </c>
      <c r="H770" s="3">
        <f t="shared" ca="1" si="80"/>
        <v>0.29082086534573393</v>
      </c>
      <c r="I770" s="3">
        <f t="shared" ca="1" si="81"/>
        <v>85.762139011257943</v>
      </c>
      <c r="J770" s="3">
        <f t="shared" ca="1" si="82"/>
        <v>7.1456790375203916</v>
      </c>
      <c r="K770" s="3">
        <f t="shared" ca="1" si="83"/>
        <v>24.362075917686319</v>
      </c>
    </row>
    <row r="771" spans="3:11" x14ac:dyDescent="0.35">
      <c r="C771" t="str">
        <f t="shared" ref="C771:C834" ca="1" si="84">LOOKUP(D771,$N$2:$N$27,$M$2:$M$27)</f>
        <v>1Q2023</v>
      </c>
      <c r="D771" vm="1530">
        <f ca="1"/>
        <v>45061</v>
      </c>
      <c r="E771" vm="1531">
        <f ca="1"/>
        <v>28.952999999999999</v>
      </c>
      <c r="F771" s="3">
        <f t="shared" ca="1" si="78"/>
        <v>8.2612211888394668E-2</v>
      </c>
      <c r="G771" s="3">
        <f t="shared" ca="1" si="79"/>
        <v>0.99150828952689041</v>
      </c>
      <c r="H771" s="3">
        <f t="shared" ca="1" si="80"/>
        <v>0.29082086534573393</v>
      </c>
      <c r="I771" s="3">
        <f t="shared" ca="1" si="81"/>
        <v>87.61719162995594</v>
      </c>
      <c r="J771" s="3">
        <f t="shared" ca="1" si="82"/>
        <v>7.3002415375203915</v>
      </c>
      <c r="K771" s="3">
        <f t="shared" ca="1" si="83"/>
        <v>24.88903260567297</v>
      </c>
    </row>
    <row r="772" spans="3:11" x14ac:dyDescent="0.35">
      <c r="C772" t="str">
        <f t="shared" ca="1" si="84"/>
        <v>1Q2023</v>
      </c>
      <c r="D772" vm="1532">
        <f ca="1"/>
        <v>45062</v>
      </c>
      <c r="E772" vm="1533">
        <f ca="1"/>
        <v>29.213000000000001</v>
      </c>
      <c r="F772" s="3">
        <f t="shared" ref="F772:F835" ca="1" si="85">VLOOKUP($C772,$M$2:$R$27,4,0)/VLOOKUP($C772,$M$2:$R$27,3,0)</f>
        <v>8.2612211888394668E-2</v>
      </c>
      <c r="G772" s="3">
        <f t="shared" ref="G772:G835" ca="1" si="86">VLOOKUP($C772,$M$2:$R$27,6,0)/VLOOKUP($C772,$M$2:$R$27,3,0)</f>
        <v>0.99150828952689041</v>
      </c>
      <c r="H772" s="3">
        <f t="shared" ref="H772:H835" ca="1" si="87">VLOOKUP($C772,$M$2:$R$27,5,0)/VLOOKUP($C772,$M$2:$R$27,3,0)</f>
        <v>0.29082086534573393</v>
      </c>
      <c r="I772" s="3">
        <f t="shared" ref="I772:I835" ca="1" si="88">$E772/(F772*4)</f>
        <v>88.404000244738128</v>
      </c>
      <c r="J772" s="3">
        <f t="shared" ref="J772:J835" ca="1" si="89">$E772/(G772*4)</f>
        <v>7.3657982259380104</v>
      </c>
      <c r="K772" s="3">
        <f t="shared" ref="K772:K835" ca="1" si="90">$E772/(H772*4)</f>
        <v>25.112537889321469</v>
      </c>
    </row>
    <row r="773" spans="3:11" x14ac:dyDescent="0.35">
      <c r="C773" t="str">
        <f t="shared" ca="1" si="84"/>
        <v>1Q2023</v>
      </c>
      <c r="D773" vm="1534">
        <f ca="1"/>
        <v>45063</v>
      </c>
      <c r="E773" vm="1535">
        <f ca="1"/>
        <v>30.178000000000001</v>
      </c>
      <c r="F773" s="3">
        <f t="shared" ca="1" si="85"/>
        <v>8.2612211888394668E-2</v>
      </c>
      <c r="G773" s="3">
        <f t="shared" ca="1" si="86"/>
        <v>0.99150828952689041</v>
      </c>
      <c r="H773" s="3">
        <f t="shared" ca="1" si="87"/>
        <v>0.29082086534573393</v>
      </c>
      <c r="I773" s="3">
        <f t="shared" ca="1" si="88"/>
        <v>91.324270680371995</v>
      </c>
      <c r="J773" s="3">
        <f t="shared" ca="1" si="89"/>
        <v>7.6091143964110932</v>
      </c>
      <c r="K773" s="3">
        <f t="shared" ca="1" si="90"/>
        <v>25.942086345939934</v>
      </c>
    </row>
    <row r="774" spans="3:11" x14ac:dyDescent="0.35">
      <c r="C774" t="str">
        <f t="shared" ca="1" si="84"/>
        <v>1Q2023</v>
      </c>
      <c r="D774" vm="1536">
        <f ca="1"/>
        <v>45064</v>
      </c>
      <c r="E774" vm="1537">
        <f ca="1"/>
        <v>31.678000000000001</v>
      </c>
      <c r="F774" s="3">
        <f t="shared" ca="1" si="85"/>
        <v>8.2612211888394668E-2</v>
      </c>
      <c r="G774" s="3">
        <f t="shared" ca="1" si="86"/>
        <v>0.99150828952689041</v>
      </c>
      <c r="H774" s="3">
        <f t="shared" ca="1" si="87"/>
        <v>0.29082086534573393</v>
      </c>
      <c r="I774" s="3">
        <f t="shared" ca="1" si="88"/>
        <v>95.863551150269203</v>
      </c>
      <c r="J774" s="3">
        <f t="shared" ca="1" si="89"/>
        <v>7.9873260603588907</v>
      </c>
      <c r="K774" s="3">
        <f t="shared" ca="1" si="90"/>
        <v>27.2315399054505</v>
      </c>
    </row>
    <row r="775" spans="3:11" x14ac:dyDescent="0.35">
      <c r="C775" t="str">
        <f t="shared" ca="1" si="84"/>
        <v>1Q2023</v>
      </c>
      <c r="D775" vm="1538">
        <f ca="1"/>
        <v>45065</v>
      </c>
      <c r="E775" vm="1539">
        <f ca="1"/>
        <v>31.263999999999999</v>
      </c>
      <c r="F775" s="3">
        <f t="shared" ca="1" si="85"/>
        <v>8.2612211888394668E-2</v>
      </c>
      <c r="G775" s="3">
        <f t="shared" ca="1" si="86"/>
        <v>0.99150828952689041</v>
      </c>
      <c r="H775" s="3">
        <f t="shared" ca="1" si="87"/>
        <v>0.29082086534573393</v>
      </c>
      <c r="I775" s="3">
        <f t="shared" ca="1" si="88"/>
        <v>94.610709740577576</v>
      </c>
      <c r="J775" s="3">
        <f t="shared" ca="1" si="89"/>
        <v>7.8829396411092985</v>
      </c>
      <c r="K775" s="3">
        <f t="shared" ca="1" si="90"/>
        <v>26.875650723025583</v>
      </c>
    </row>
    <row r="776" spans="3:11" x14ac:dyDescent="0.35">
      <c r="C776" t="str">
        <f t="shared" ca="1" si="84"/>
        <v>1Q2023</v>
      </c>
      <c r="D776" vm="1540">
        <f ca="1"/>
        <v>45068</v>
      </c>
      <c r="E776" vm="1541">
        <f ca="1"/>
        <v>31.175999999999998</v>
      </c>
      <c r="F776" s="3">
        <f t="shared" ca="1" si="85"/>
        <v>8.2612211888394668E-2</v>
      </c>
      <c r="G776" s="3">
        <f t="shared" ca="1" si="86"/>
        <v>0.99150828952689041</v>
      </c>
      <c r="H776" s="3">
        <f t="shared" ca="1" si="87"/>
        <v>0.29082086534573393</v>
      </c>
      <c r="I776" s="3">
        <f t="shared" ca="1" si="88"/>
        <v>94.344405286343601</v>
      </c>
      <c r="J776" s="3">
        <f t="shared" ca="1" si="89"/>
        <v>7.8607512234910271</v>
      </c>
      <c r="K776" s="3">
        <f t="shared" ca="1" si="90"/>
        <v>26.800002780867629</v>
      </c>
    </row>
    <row r="777" spans="3:11" x14ac:dyDescent="0.35">
      <c r="C777" t="str">
        <f t="shared" ca="1" si="84"/>
        <v>1Q2023</v>
      </c>
      <c r="D777" vm="1542">
        <f ca="1"/>
        <v>45069</v>
      </c>
      <c r="E777" vm="1543">
        <f ca="1"/>
        <v>30.687999999999999</v>
      </c>
      <c r="F777" s="3">
        <f t="shared" ca="1" si="85"/>
        <v>8.2612211888394668E-2</v>
      </c>
      <c r="G777" s="3">
        <f t="shared" ca="1" si="86"/>
        <v>0.99150828952689041</v>
      </c>
      <c r="H777" s="3">
        <f t="shared" ca="1" si="87"/>
        <v>0.29082086534573393</v>
      </c>
      <c r="I777" s="3">
        <f t="shared" ca="1" si="88"/>
        <v>92.86762604013704</v>
      </c>
      <c r="J777" s="3">
        <f t="shared" ca="1" si="89"/>
        <v>7.737706362153344</v>
      </c>
      <c r="K777" s="3">
        <f t="shared" ca="1" si="90"/>
        <v>26.380500556173526</v>
      </c>
    </row>
    <row r="778" spans="3:11" x14ac:dyDescent="0.35">
      <c r="C778" t="str">
        <f t="shared" ca="1" si="84"/>
        <v>1Q2023</v>
      </c>
      <c r="D778" vm="1544">
        <f ca="1"/>
        <v>45070</v>
      </c>
      <c r="E778" vm="1545">
        <f ca="1"/>
        <v>30.538</v>
      </c>
      <c r="F778" s="3">
        <f t="shared" ca="1" si="85"/>
        <v>8.2612211888394668E-2</v>
      </c>
      <c r="G778" s="3">
        <f t="shared" ca="1" si="86"/>
        <v>0.99150828952689041</v>
      </c>
      <c r="H778" s="3">
        <f t="shared" ca="1" si="87"/>
        <v>0.29082086534573393</v>
      </c>
      <c r="I778" s="3">
        <f t="shared" ca="1" si="88"/>
        <v>92.413697993147323</v>
      </c>
      <c r="J778" s="3">
        <f t="shared" ca="1" si="89"/>
        <v>7.699885195758565</v>
      </c>
      <c r="K778" s="3">
        <f t="shared" ca="1" si="90"/>
        <v>26.251555200222469</v>
      </c>
    </row>
    <row r="779" spans="3:11" x14ac:dyDescent="0.35">
      <c r="C779" t="str">
        <f t="shared" ca="1" si="84"/>
        <v>1Q2023</v>
      </c>
      <c r="D779" vm="1546">
        <f ca="1"/>
        <v>45071</v>
      </c>
      <c r="E779" vm="1547">
        <f ca="1"/>
        <v>37.979999999999997</v>
      </c>
      <c r="F779" s="3">
        <f t="shared" ca="1" si="85"/>
        <v>8.2612211888394668E-2</v>
      </c>
      <c r="G779" s="3">
        <f t="shared" ca="1" si="86"/>
        <v>0.99150828952689041</v>
      </c>
      <c r="H779" s="3">
        <f t="shared" ca="1" si="87"/>
        <v>0.29082086534573393</v>
      </c>
      <c r="I779" s="3">
        <f t="shared" ca="1" si="88"/>
        <v>114.93458149779734</v>
      </c>
      <c r="J779" s="3">
        <f t="shared" ca="1" si="89"/>
        <v>9.5763193311582366</v>
      </c>
      <c r="K779" s="3">
        <f t="shared" ca="1" si="90"/>
        <v>32.648964126807563</v>
      </c>
    </row>
    <row r="780" spans="3:11" x14ac:dyDescent="0.35">
      <c r="C780" t="str">
        <f t="shared" ca="1" si="84"/>
        <v>1Q2023</v>
      </c>
      <c r="D780" vm="1548">
        <f ca="1"/>
        <v>45072</v>
      </c>
      <c r="E780" vm="1549">
        <f ca="1"/>
        <v>38.945999999999998</v>
      </c>
      <c r="F780" s="3">
        <f t="shared" ca="1" si="85"/>
        <v>8.2612211888394668E-2</v>
      </c>
      <c r="G780" s="3">
        <f t="shared" ca="1" si="86"/>
        <v>0.99150828952689041</v>
      </c>
      <c r="H780" s="3">
        <f t="shared" ca="1" si="87"/>
        <v>0.29082086534573393</v>
      </c>
      <c r="I780" s="3">
        <f t="shared" ca="1" si="88"/>
        <v>117.85787812041114</v>
      </c>
      <c r="J780" s="3">
        <f t="shared" ca="1" si="89"/>
        <v>9.8198876427406194</v>
      </c>
      <c r="K780" s="3">
        <f t="shared" ca="1" si="90"/>
        <v>33.479372219132365</v>
      </c>
    </row>
    <row r="781" spans="3:11" x14ac:dyDescent="0.35">
      <c r="C781" t="str">
        <f t="shared" ca="1" si="84"/>
        <v>1Q2023</v>
      </c>
      <c r="D781" vm="1550">
        <f ca="1"/>
        <v>45076</v>
      </c>
      <c r="E781" vm="1551">
        <f ca="1"/>
        <v>40.110999999999997</v>
      </c>
      <c r="F781" s="3">
        <f t="shared" ca="1" si="85"/>
        <v>8.2612211888394668E-2</v>
      </c>
      <c r="G781" s="3">
        <f t="shared" ca="1" si="86"/>
        <v>0.99150828952689041</v>
      </c>
      <c r="H781" s="3">
        <f t="shared" ca="1" si="87"/>
        <v>0.29082086534573393</v>
      </c>
      <c r="I781" s="3">
        <f t="shared" ca="1" si="88"/>
        <v>121.3833859520313</v>
      </c>
      <c r="J781" s="3">
        <f t="shared" ca="1" si="89"/>
        <v>10.113632035073408</v>
      </c>
      <c r="K781" s="3">
        <f t="shared" ca="1" si="90"/>
        <v>34.480847817018905</v>
      </c>
    </row>
    <row r="782" spans="3:11" x14ac:dyDescent="0.35">
      <c r="C782" t="str">
        <f t="shared" ca="1" si="84"/>
        <v>1Q2023</v>
      </c>
      <c r="D782" vm="1552">
        <f ca="1"/>
        <v>45077</v>
      </c>
      <c r="E782" vm="1553">
        <f ca="1"/>
        <v>37.834000000000003</v>
      </c>
      <c r="F782" s="3">
        <f t="shared" ca="1" si="85"/>
        <v>8.2612211888394668E-2</v>
      </c>
      <c r="G782" s="3">
        <f t="shared" ca="1" si="86"/>
        <v>0.99150828952689041</v>
      </c>
      <c r="H782" s="3">
        <f t="shared" ca="1" si="87"/>
        <v>0.29082086534573393</v>
      </c>
      <c r="I782" s="3">
        <f t="shared" ca="1" si="88"/>
        <v>114.49275819872736</v>
      </c>
      <c r="J782" s="3">
        <f t="shared" ca="1" si="89"/>
        <v>9.539506729200653</v>
      </c>
      <c r="K782" s="3">
        <f t="shared" ca="1" si="90"/>
        <v>32.523457313681874</v>
      </c>
    </row>
    <row r="783" spans="3:11" x14ac:dyDescent="0.35">
      <c r="C783" t="str">
        <f t="shared" ca="1" si="84"/>
        <v>1Q2023</v>
      </c>
      <c r="D783" vm="1554">
        <f ca="1"/>
        <v>45078</v>
      </c>
      <c r="E783" vm="1555">
        <f ca="1"/>
        <v>39.770000000000003</v>
      </c>
      <c r="F783" s="3">
        <f t="shared" ca="1" si="85"/>
        <v>8.2612211888394668E-2</v>
      </c>
      <c r="G783" s="3">
        <f t="shared" ca="1" si="86"/>
        <v>0.99150828952689041</v>
      </c>
      <c r="H783" s="3">
        <f t="shared" ca="1" si="87"/>
        <v>0.29082086534573393</v>
      </c>
      <c r="I783" s="3">
        <f t="shared" ca="1" si="88"/>
        <v>120.35145619187469</v>
      </c>
      <c r="J783" s="3">
        <f t="shared" ca="1" si="89"/>
        <v>10.027651916802611</v>
      </c>
      <c r="K783" s="3">
        <f t="shared" ca="1" si="90"/>
        <v>34.187712041156843</v>
      </c>
    </row>
    <row r="784" spans="3:11" x14ac:dyDescent="0.35">
      <c r="C784" t="str">
        <f t="shared" ca="1" si="84"/>
        <v>1Q2023</v>
      </c>
      <c r="D784" vm="1556">
        <f ca="1"/>
        <v>45079</v>
      </c>
      <c r="E784" vm="1557">
        <f ca="1"/>
        <v>39.326999999999998</v>
      </c>
      <c r="F784" s="3">
        <f t="shared" ca="1" si="85"/>
        <v>8.2612211888394668E-2</v>
      </c>
      <c r="G784" s="3">
        <f t="shared" ca="1" si="86"/>
        <v>0.99150828952689041</v>
      </c>
      <c r="H784" s="3">
        <f t="shared" ca="1" si="87"/>
        <v>0.29082086534573393</v>
      </c>
      <c r="I784" s="3">
        <f t="shared" ca="1" si="88"/>
        <v>119.01085535976503</v>
      </c>
      <c r="J784" s="3">
        <f t="shared" ca="1" si="89"/>
        <v>9.9159534053833607</v>
      </c>
      <c r="K784" s="3">
        <f t="shared" ca="1" si="90"/>
        <v>33.806893423248049</v>
      </c>
    </row>
    <row r="785" spans="3:11" x14ac:dyDescent="0.35">
      <c r="C785" t="str">
        <f t="shared" ca="1" si="84"/>
        <v>1Q2023</v>
      </c>
      <c r="D785" vm="1558">
        <f ca="1"/>
        <v>45082</v>
      </c>
      <c r="E785" vm="1559">
        <f ca="1"/>
        <v>39.170999999999999</v>
      </c>
      <c r="F785" s="3">
        <f t="shared" ca="1" si="85"/>
        <v>8.2612211888394668E-2</v>
      </c>
      <c r="G785" s="3">
        <f t="shared" ca="1" si="86"/>
        <v>0.99150828952689041</v>
      </c>
      <c r="H785" s="3">
        <f t="shared" ca="1" si="87"/>
        <v>0.29082086534573393</v>
      </c>
      <c r="I785" s="3">
        <f t="shared" ca="1" si="88"/>
        <v>118.53877019089573</v>
      </c>
      <c r="J785" s="3">
        <f t="shared" ca="1" si="89"/>
        <v>9.8766193923327901</v>
      </c>
      <c r="K785" s="3">
        <f t="shared" ca="1" si="90"/>
        <v>33.672790253058956</v>
      </c>
    </row>
    <row r="786" spans="3:11" x14ac:dyDescent="0.35">
      <c r="C786" t="str">
        <f t="shared" ca="1" si="84"/>
        <v>1Q2023</v>
      </c>
      <c r="D786" vm="1560">
        <f ca="1"/>
        <v>45083</v>
      </c>
      <c r="E786" vm="1561">
        <f ca="1"/>
        <v>38.654000000000003</v>
      </c>
      <c r="F786" s="3">
        <f t="shared" ca="1" si="85"/>
        <v>8.2612211888394668E-2</v>
      </c>
      <c r="G786" s="3">
        <f t="shared" ca="1" si="86"/>
        <v>0.99150828952689041</v>
      </c>
      <c r="H786" s="3">
        <f t="shared" ca="1" si="87"/>
        <v>0.29082086534573393</v>
      </c>
      <c r="I786" s="3">
        <f t="shared" ca="1" si="88"/>
        <v>116.97423152227117</v>
      </c>
      <c r="J786" s="3">
        <f t="shared" ca="1" si="89"/>
        <v>9.7462624388254504</v>
      </c>
      <c r="K786" s="3">
        <f t="shared" ca="1" si="90"/>
        <v>33.22835859288098</v>
      </c>
    </row>
    <row r="787" spans="3:11" x14ac:dyDescent="0.35">
      <c r="C787" t="str">
        <f t="shared" ca="1" si="84"/>
        <v>1Q2023</v>
      </c>
      <c r="D787" vm="1562">
        <f ca="1"/>
        <v>45084</v>
      </c>
      <c r="E787" vm="1563">
        <f ca="1"/>
        <v>37.475000000000001</v>
      </c>
      <c r="F787" s="3">
        <f t="shared" ca="1" si="85"/>
        <v>8.2612211888394668E-2</v>
      </c>
      <c r="G787" s="3">
        <f t="shared" ca="1" si="86"/>
        <v>0.99150828952689041</v>
      </c>
      <c r="H787" s="3">
        <f t="shared" ca="1" si="87"/>
        <v>0.29082086534573393</v>
      </c>
      <c r="I787" s="3">
        <f t="shared" ca="1" si="88"/>
        <v>113.40635707293195</v>
      </c>
      <c r="J787" s="3">
        <f t="shared" ca="1" si="89"/>
        <v>9.4489880709624803</v>
      </c>
      <c r="K787" s="3">
        <f t="shared" ca="1" si="90"/>
        <v>32.214848095105673</v>
      </c>
    </row>
    <row r="788" spans="3:11" x14ac:dyDescent="0.35">
      <c r="C788" t="str">
        <f t="shared" ca="1" si="84"/>
        <v>1Q2023</v>
      </c>
      <c r="D788" vm="1564">
        <f ca="1"/>
        <v>45085</v>
      </c>
      <c r="E788" vm="1565">
        <f ca="1"/>
        <v>38.51</v>
      </c>
      <c r="F788" s="3">
        <f t="shared" ca="1" si="85"/>
        <v>8.2612211888394668E-2</v>
      </c>
      <c r="G788" s="3">
        <f t="shared" ca="1" si="86"/>
        <v>0.99150828952689041</v>
      </c>
      <c r="H788" s="3">
        <f t="shared" ca="1" si="87"/>
        <v>0.29082086534573393</v>
      </c>
      <c r="I788" s="3">
        <f t="shared" ca="1" si="88"/>
        <v>116.53846059716102</v>
      </c>
      <c r="J788" s="3">
        <f t="shared" ca="1" si="89"/>
        <v>9.7099541190864596</v>
      </c>
      <c r="K788" s="3">
        <f t="shared" ca="1" si="90"/>
        <v>33.104571051167966</v>
      </c>
    </row>
    <row r="789" spans="3:11" x14ac:dyDescent="0.35">
      <c r="C789" t="str">
        <f t="shared" ca="1" si="84"/>
        <v>1Q2023</v>
      </c>
      <c r="D789" vm="1566">
        <f ca="1"/>
        <v>45086</v>
      </c>
      <c r="E789" vm="1567">
        <f ca="1"/>
        <v>38.770000000000003</v>
      </c>
      <c r="F789" s="3">
        <f t="shared" ca="1" si="85"/>
        <v>8.2612211888394668E-2</v>
      </c>
      <c r="G789" s="3">
        <f t="shared" ca="1" si="86"/>
        <v>0.99150828952689041</v>
      </c>
      <c r="H789" s="3">
        <f t="shared" ca="1" si="87"/>
        <v>0.29082086534573393</v>
      </c>
      <c r="I789" s="3">
        <f t="shared" ca="1" si="88"/>
        <v>117.32526921194322</v>
      </c>
      <c r="J789" s="3">
        <f t="shared" ca="1" si="89"/>
        <v>9.7755108075040784</v>
      </c>
      <c r="K789" s="3">
        <f t="shared" ca="1" si="90"/>
        <v>33.328076334816465</v>
      </c>
    </row>
    <row r="790" spans="3:11" x14ac:dyDescent="0.35">
      <c r="C790" t="str">
        <f t="shared" ca="1" si="84"/>
        <v>1Q2023</v>
      </c>
      <c r="D790" vm="1568">
        <f ca="1"/>
        <v>45089</v>
      </c>
      <c r="E790" vm="1569">
        <f ca="1"/>
        <v>39.481999999999999</v>
      </c>
      <c r="F790" s="3">
        <f t="shared" ca="1" si="85"/>
        <v>8.2612211888394668E-2</v>
      </c>
      <c r="G790" s="3">
        <f t="shared" ca="1" si="86"/>
        <v>0.99150828952689041</v>
      </c>
      <c r="H790" s="3">
        <f t="shared" ca="1" si="87"/>
        <v>0.29082086534573393</v>
      </c>
      <c r="I790" s="3">
        <f t="shared" ca="1" si="88"/>
        <v>119.47991434165442</v>
      </c>
      <c r="J790" s="3">
        <f t="shared" ca="1" si="89"/>
        <v>9.9550352773246331</v>
      </c>
      <c r="K790" s="3">
        <f t="shared" ca="1" si="90"/>
        <v>33.940136957730815</v>
      </c>
    </row>
    <row r="791" spans="3:11" x14ac:dyDescent="0.35">
      <c r="C791" t="str">
        <f t="shared" ca="1" si="84"/>
        <v>1Q2023</v>
      </c>
      <c r="D791" vm="1570">
        <f ca="1"/>
        <v>45090</v>
      </c>
      <c r="E791" vm="1571">
        <f ca="1"/>
        <v>41.021999999999998</v>
      </c>
      <c r="F791" s="3">
        <f t="shared" ca="1" si="85"/>
        <v>8.2612211888394668E-2</v>
      </c>
      <c r="G791" s="3">
        <f t="shared" ca="1" si="86"/>
        <v>0.99150828952689041</v>
      </c>
      <c r="H791" s="3">
        <f t="shared" ca="1" si="87"/>
        <v>0.29082086534573393</v>
      </c>
      <c r="I791" s="3">
        <f t="shared" ca="1" si="88"/>
        <v>124.14024229074889</v>
      </c>
      <c r="J791" s="3">
        <f t="shared" ca="1" si="89"/>
        <v>10.343332585644372</v>
      </c>
      <c r="K791" s="3">
        <f t="shared" ca="1" si="90"/>
        <v>35.263975945494991</v>
      </c>
    </row>
    <row r="792" spans="3:11" x14ac:dyDescent="0.35">
      <c r="C792" t="str">
        <f t="shared" ca="1" si="84"/>
        <v>1Q2023</v>
      </c>
      <c r="D792" vm="1572">
        <f ca="1"/>
        <v>45091</v>
      </c>
      <c r="E792" vm="1573">
        <f ca="1"/>
        <v>42.997</v>
      </c>
      <c r="F792" s="3">
        <f t="shared" ca="1" si="85"/>
        <v>8.2612211888394668E-2</v>
      </c>
      <c r="G792" s="3">
        <f t="shared" ca="1" si="86"/>
        <v>0.99150828952689041</v>
      </c>
      <c r="H792" s="3">
        <f t="shared" ca="1" si="87"/>
        <v>0.29082086534573393</v>
      </c>
      <c r="I792" s="3">
        <f t="shared" ca="1" si="88"/>
        <v>130.11696157611354</v>
      </c>
      <c r="J792" s="3">
        <f t="shared" ca="1" si="89"/>
        <v>10.841311276508973</v>
      </c>
      <c r="K792" s="3">
        <f t="shared" ca="1" si="90"/>
        <v>36.96175646551724</v>
      </c>
    </row>
    <row r="793" spans="3:11" x14ac:dyDescent="0.35">
      <c r="C793" t="str">
        <f t="shared" ca="1" si="84"/>
        <v>1Q2023</v>
      </c>
      <c r="D793" vm="1574">
        <f ca="1"/>
        <v>45092</v>
      </c>
      <c r="E793" vm="1575">
        <f ca="1"/>
        <v>42.652999999999999</v>
      </c>
      <c r="F793" s="3">
        <f t="shared" ca="1" si="85"/>
        <v>8.2612211888394668E-2</v>
      </c>
      <c r="G793" s="3">
        <f t="shared" ca="1" si="86"/>
        <v>0.99150828952689041</v>
      </c>
      <c r="H793" s="3">
        <f t="shared" ca="1" si="87"/>
        <v>0.29082086534573393</v>
      </c>
      <c r="I793" s="3">
        <f t="shared" ca="1" si="88"/>
        <v>129.07595325501711</v>
      </c>
      <c r="J793" s="3">
        <f t="shared" ca="1" si="89"/>
        <v>10.754574734910276</v>
      </c>
      <c r="K793" s="3">
        <f t="shared" ca="1" si="90"/>
        <v>36.666041782536148</v>
      </c>
    </row>
    <row r="794" spans="3:11" x14ac:dyDescent="0.35">
      <c r="C794" t="str">
        <f t="shared" ca="1" si="84"/>
        <v>1Q2023</v>
      </c>
      <c r="D794" vm="1576">
        <f ca="1"/>
        <v>45093</v>
      </c>
      <c r="E794" vm="1577">
        <f ca="1"/>
        <v>42.692</v>
      </c>
      <c r="F794" s="3">
        <f t="shared" ca="1" si="85"/>
        <v>8.2612211888394668E-2</v>
      </c>
      <c r="G794" s="3">
        <f t="shared" ca="1" si="86"/>
        <v>0.99150828952689041</v>
      </c>
      <c r="H794" s="3">
        <f t="shared" ca="1" si="87"/>
        <v>0.29082086534573393</v>
      </c>
      <c r="I794" s="3">
        <f t="shared" ca="1" si="88"/>
        <v>129.19397454723446</v>
      </c>
      <c r="J794" s="3">
        <f t="shared" ca="1" si="89"/>
        <v>10.764408238172921</v>
      </c>
      <c r="K794" s="3">
        <f t="shared" ca="1" si="90"/>
        <v>36.699567575083428</v>
      </c>
    </row>
    <row r="795" spans="3:11" x14ac:dyDescent="0.35">
      <c r="C795" t="str">
        <f t="shared" ca="1" si="84"/>
        <v>1Q2023</v>
      </c>
      <c r="D795" vm="1578">
        <f ca="1"/>
        <v>45097</v>
      </c>
      <c r="E795" vm="1579">
        <f ca="1"/>
        <v>43.808</v>
      </c>
      <c r="F795" s="3">
        <f t="shared" ca="1" si="85"/>
        <v>8.2612211888394668E-2</v>
      </c>
      <c r="G795" s="3">
        <f t="shared" ca="1" si="86"/>
        <v>0.99150828952689041</v>
      </c>
      <c r="H795" s="3">
        <f t="shared" ca="1" si="87"/>
        <v>0.29082086534573393</v>
      </c>
      <c r="I795" s="3">
        <f t="shared" ca="1" si="88"/>
        <v>132.57119921683798</v>
      </c>
      <c r="J795" s="3">
        <f t="shared" ca="1" si="89"/>
        <v>11.045797716150082</v>
      </c>
      <c r="K795" s="3">
        <f t="shared" ca="1" si="90"/>
        <v>37.658921023359291</v>
      </c>
    </row>
    <row r="796" spans="3:11" x14ac:dyDescent="0.35">
      <c r="C796" t="str">
        <f t="shared" ca="1" si="84"/>
        <v>1Q2023</v>
      </c>
      <c r="D796" vm="1580">
        <f ca="1"/>
        <v>45098</v>
      </c>
      <c r="E796" vm="1581">
        <f ca="1"/>
        <v>43.045000000000002</v>
      </c>
      <c r="F796" s="3">
        <f t="shared" ca="1" si="85"/>
        <v>8.2612211888394668E-2</v>
      </c>
      <c r="G796" s="3">
        <f t="shared" ca="1" si="86"/>
        <v>0.99150828952689041</v>
      </c>
      <c r="H796" s="3">
        <f t="shared" ca="1" si="87"/>
        <v>0.29082086534573393</v>
      </c>
      <c r="I796" s="3">
        <f t="shared" ca="1" si="88"/>
        <v>130.26221855115026</v>
      </c>
      <c r="J796" s="3">
        <f t="shared" ca="1" si="89"/>
        <v>10.853414049755303</v>
      </c>
      <c r="K796" s="3">
        <f t="shared" ca="1" si="90"/>
        <v>37.003018979421583</v>
      </c>
    </row>
    <row r="797" spans="3:11" x14ac:dyDescent="0.35">
      <c r="C797" t="str">
        <f t="shared" ca="1" si="84"/>
        <v>1Q2023</v>
      </c>
      <c r="D797" vm="1582">
        <f ca="1"/>
        <v>45099</v>
      </c>
      <c r="E797" vm="1583">
        <f ca="1"/>
        <v>43.024999999999999</v>
      </c>
      <c r="F797" s="3">
        <f t="shared" ca="1" si="85"/>
        <v>8.2612211888394668E-2</v>
      </c>
      <c r="G797" s="3">
        <f t="shared" ca="1" si="86"/>
        <v>0.99150828952689041</v>
      </c>
      <c r="H797" s="3">
        <f t="shared" ca="1" si="87"/>
        <v>0.29082086534573393</v>
      </c>
      <c r="I797" s="3">
        <f t="shared" ca="1" si="88"/>
        <v>130.20169481155162</v>
      </c>
      <c r="J797" s="3">
        <f t="shared" ca="1" si="89"/>
        <v>10.848371227569331</v>
      </c>
      <c r="K797" s="3">
        <f t="shared" ca="1" si="90"/>
        <v>36.985826265294769</v>
      </c>
    </row>
    <row r="798" spans="3:11" x14ac:dyDescent="0.35">
      <c r="C798" t="str">
        <f t="shared" ca="1" si="84"/>
        <v>1Q2023</v>
      </c>
      <c r="D798" vm="1584">
        <f ca="1"/>
        <v>45100</v>
      </c>
      <c r="E798" vm="1585">
        <f ca="1"/>
        <v>42.209000000000003</v>
      </c>
      <c r="F798" s="3">
        <f t="shared" ca="1" si="85"/>
        <v>8.2612211888394668E-2</v>
      </c>
      <c r="G798" s="3">
        <f t="shared" ca="1" si="86"/>
        <v>0.99150828952689041</v>
      </c>
      <c r="H798" s="3">
        <f t="shared" ca="1" si="87"/>
        <v>0.29082086534573393</v>
      </c>
      <c r="I798" s="3">
        <f t="shared" ca="1" si="88"/>
        <v>127.73232623592756</v>
      </c>
      <c r="J798" s="3">
        <f t="shared" ca="1" si="89"/>
        <v>10.64262408238173</v>
      </c>
      <c r="K798" s="3">
        <f t="shared" ca="1" si="90"/>
        <v>36.284363528921027</v>
      </c>
    </row>
    <row r="799" spans="3:11" x14ac:dyDescent="0.35">
      <c r="C799" t="str">
        <f t="shared" ca="1" si="84"/>
        <v>1Q2023</v>
      </c>
      <c r="D799" vm="1586">
        <f ca="1"/>
        <v>45103</v>
      </c>
      <c r="E799" vm="1587">
        <f ca="1"/>
        <v>40.631999999999998</v>
      </c>
      <c r="F799" s="3">
        <f t="shared" ca="1" si="85"/>
        <v>8.2612211888394668E-2</v>
      </c>
      <c r="G799" s="3">
        <f t="shared" ca="1" si="86"/>
        <v>0.99150828952689041</v>
      </c>
      <c r="H799" s="3">
        <f t="shared" ca="1" si="87"/>
        <v>0.29082086534573393</v>
      </c>
      <c r="I799" s="3">
        <f t="shared" ca="1" si="88"/>
        <v>122.9600293685756</v>
      </c>
      <c r="J799" s="3">
        <f t="shared" ca="1" si="89"/>
        <v>10.244997553017944</v>
      </c>
      <c r="K799" s="3">
        <f t="shared" ca="1" si="90"/>
        <v>34.928718020022245</v>
      </c>
    </row>
    <row r="800" spans="3:11" x14ac:dyDescent="0.35">
      <c r="C800" t="str">
        <f t="shared" ca="1" si="84"/>
        <v>1Q2023</v>
      </c>
      <c r="D800" vm="1588">
        <f ca="1"/>
        <v>45104</v>
      </c>
      <c r="E800" vm="1589">
        <f ca="1"/>
        <v>41.875999999999998</v>
      </c>
      <c r="F800" s="3">
        <f t="shared" ca="1" si="85"/>
        <v>8.2612211888394668E-2</v>
      </c>
      <c r="G800" s="3">
        <f t="shared" ca="1" si="86"/>
        <v>0.99150828952689041</v>
      </c>
      <c r="H800" s="3">
        <f t="shared" ca="1" si="87"/>
        <v>0.29082086534573393</v>
      </c>
      <c r="I800" s="3">
        <f t="shared" ca="1" si="88"/>
        <v>126.72460597161036</v>
      </c>
      <c r="J800" s="3">
        <f t="shared" ca="1" si="89"/>
        <v>10.558661092985318</v>
      </c>
      <c r="K800" s="3">
        <f t="shared" ca="1" si="90"/>
        <v>35.998104838709672</v>
      </c>
    </row>
    <row r="801" spans="3:11" x14ac:dyDescent="0.35">
      <c r="C801" t="str">
        <f t="shared" ca="1" si="84"/>
        <v>1Q2023</v>
      </c>
      <c r="D801" vm="1590">
        <f ca="1"/>
        <v>45105</v>
      </c>
      <c r="E801" vm="1591">
        <f ca="1"/>
        <v>41.116999999999997</v>
      </c>
      <c r="F801" s="3">
        <f t="shared" ca="1" si="85"/>
        <v>8.2612211888394668E-2</v>
      </c>
      <c r="G801" s="3">
        <f t="shared" ca="1" si="86"/>
        <v>0.99150828952689041</v>
      </c>
      <c r="H801" s="3">
        <f t="shared" ca="1" si="87"/>
        <v>0.29082086534573393</v>
      </c>
      <c r="I801" s="3">
        <f t="shared" ca="1" si="88"/>
        <v>124.42773005384237</v>
      </c>
      <c r="J801" s="3">
        <f t="shared" ca="1" si="89"/>
        <v>10.367285991027732</v>
      </c>
      <c r="K801" s="3">
        <f t="shared" ca="1" si="90"/>
        <v>35.345641337597328</v>
      </c>
    </row>
    <row r="802" spans="3:11" x14ac:dyDescent="0.35">
      <c r="C802" t="str">
        <f t="shared" ca="1" si="84"/>
        <v>1Q2023</v>
      </c>
      <c r="D802" vm="1592">
        <f ca="1"/>
        <v>45106</v>
      </c>
      <c r="E802" vm="1593">
        <f ca="1"/>
        <v>40.822000000000003</v>
      </c>
      <c r="F802" s="3">
        <f t="shared" ca="1" si="85"/>
        <v>8.2612211888394668E-2</v>
      </c>
      <c r="G802" s="3">
        <f t="shared" ca="1" si="86"/>
        <v>0.99150828952689041</v>
      </c>
      <c r="H802" s="3">
        <f t="shared" ca="1" si="87"/>
        <v>0.29082086534573393</v>
      </c>
      <c r="I802" s="3">
        <f t="shared" ca="1" si="88"/>
        <v>123.53500489476261</v>
      </c>
      <c r="J802" s="3">
        <f t="shared" ca="1" si="89"/>
        <v>10.292904363784666</v>
      </c>
      <c r="K802" s="3">
        <f t="shared" ca="1" si="90"/>
        <v>35.09204880422692</v>
      </c>
    </row>
    <row r="803" spans="3:11" x14ac:dyDescent="0.35">
      <c r="C803" t="str">
        <f t="shared" ca="1" si="84"/>
        <v>1Q2023</v>
      </c>
      <c r="D803" vm="1594">
        <f ca="1"/>
        <v>45107</v>
      </c>
      <c r="E803" vm="1595">
        <f ca="1"/>
        <v>42.302</v>
      </c>
      <c r="F803" s="3">
        <f t="shared" ca="1" si="85"/>
        <v>8.2612211888394668E-2</v>
      </c>
      <c r="G803" s="3">
        <f t="shared" ca="1" si="86"/>
        <v>0.99150828952689041</v>
      </c>
      <c r="H803" s="3">
        <f t="shared" ca="1" si="87"/>
        <v>0.29082086534573393</v>
      </c>
      <c r="I803" s="3">
        <f t="shared" ca="1" si="88"/>
        <v>128.01376162506116</v>
      </c>
      <c r="J803" s="3">
        <f t="shared" ca="1" si="89"/>
        <v>10.666073205546493</v>
      </c>
      <c r="K803" s="3">
        <f t="shared" ca="1" si="90"/>
        <v>36.364309649610675</v>
      </c>
    </row>
    <row r="804" spans="3:11" x14ac:dyDescent="0.35">
      <c r="C804" t="str">
        <f t="shared" ca="1" si="84"/>
        <v>1Q2023</v>
      </c>
      <c r="D804" vm="1596">
        <f ca="1"/>
        <v>45110</v>
      </c>
      <c r="E804" vm="1597">
        <f ca="1"/>
        <v>42.412999999999997</v>
      </c>
      <c r="F804" s="3">
        <f t="shared" ca="1" si="85"/>
        <v>8.2612211888394668E-2</v>
      </c>
      <c r="G804" s="3">
        <f t="shared" ca="1" si="86"/>
        <v>0.99150828952689041</v>
      </c>
      <c r="H804" s="3">
        <f t="shared" ca="1" si="87"/>
        <v>0.29082086534573393</v>
      </c>
      <c r="I804" s="3">
        <f t="shared" ca="1" si="88"/>
        <v>128.34966837983356</v>
      </c>
      <c r="J804" s="3">
        <f t="shared" ca="1" si="89"/>
        <v>10.69406086867863</v>
      </c>
      <c r="K804" s="3">
        <f t="shared" ca="1" si="90"/>
        <v>36.459729213014455</v>
      </c>
    </row>
    <row r="805" spans="3:11" x14ac:dyDescent="0.35">
      <c r="C805" t="str">
        <f t="shared" ca="1" si="84"/>
        <v>1Q2023</v>
      </c>
      <c r="D805" vm="1598">
        <f ca="1"/>
        <v>45112</v>
      </c>
      <c r="E805" vm="1599">
        <f ca="1"/>
        <v>42.317</v>
      </c>
      <c r="F805" s="3">
        <f t="shared" ca="1" si="85"/>
        <v>8.2612211888394668E-2</v>
      </c>
      <c r="G805" s="3">
        <f t="shared" ca="1" si="86"/>
        <v>0.99150828952689041</v>
      </c>
      <c r="H805" s="3">
        <f t="shared" ca="1" si="87"/>
        <v>0.29082086534573393</v>
      </c>
      <c r="I805" s="3">
        <f t="shared" ca="1" si="88"/>
        <v>128.05915442976016</v>
      </c>
      <c r="J805" s="3">
        <f t="shared" ca="1" si="89"/>
        <v>10.66985532218597</v>
      </c>
      <c r="K805" s="3">
        <f t="shared" ca="1" si="90"/>
        <v>36.377204185205784</v>
      </c>
    </row>
    <row r="806" spans="3:11" x14ac:dyDescent="0.35">
      <c r="C806" t="str">
        <f t="shared" ca="1" si="84"/>
        <v>1Q2023</v>
      </c>
      <c r="D806" vm="1600">
        <f ca="1"/>
        <v>45113</v>
      </c>
      <c r="E806" vm="1601">
        <f ca="1"/>
        <v>42.103000000000002</v>
      </c>
      <c r="F806" s="3">
        <f t="shared" ca="1" si="85"/>
        <v>8.2612211888394668E-2</v>
      </c>
      <c r="G806" s="3">
        <f t="shared" ca="1" si="86"/>
        <v>0.99150828952689041</v>
      </c>
      <c r="H806" s="3">
        <f t="shared" ca="1" si="87"/>
        <v>0.29082086534573393</v>
      </c>
      <c r="I806" s="3">
        <f t="shared" ca="1" si="88"/>
        <v>127.41155041605482</v>
      </c>
      <c r="J806" s="3">
        <f t="shared" ca="1" si="89"/>
        <v>10.615897124796085</v>
      </c>
      <c r="K806" s="3">
        <f t="shared" ca="1" si="90"/>
        <v>36.193242144048945</v>
      </c>
    </row>
    <row r="807" spans="3:11" x14ac:dyDescent="0.35">
      <c r="C807" t="str">
        <f t="shared" ca="1" si="84"/>
        <v>1Q2023</v>
      </c>
      <c r="D807" vm="1602">
        <f ca="1"/>
        <v>45114</v>
      </c>
      <c r="E807" vm="1603">
        <f ca="1"/>
        <v>42.503</v>
      </c>
      <c r="F807" s="3">
        <f t="shared" ca="1" si="85"/>
        <v>8.2612211888394668E-2</v>
      </c>
      <c r="G807" s="3">
        <f t="shared" ca="1" si="86"/>
        <v>0.99150828952689041</v>
      </c>
      <c r="H807" s="3">
        <f t="shared" ca="1" si="87"/>
        <v>0.29082086534573393</v>
      </c>
      <c r="I807" s="3">
        <f t="shared" ca="1" si="88"/>
        <v>128.6220252080274</v>
      </c>
      <c r="J807" s="3">
        <f t="shared" ca="1" si="89"/>
        <v>10.716753568515498</v>
      </c>
      <c r="K807" s="3">
        <f t="shared" ca="1" si="90"/>
        <v>36.537096426585094</v>
      </c>
    </row>
    <row r="808" spans="3:11" x14ac:dyDescent="0.35">
      <c r="C808" t="str">
        <f t="shared" ca="1" si="84"/>
        <v>1Q2023</v>
      </c>
      <c r="D808" vm="1604">
        <f ca="1"/>
        <v>45117</v>
      </c>
      <c r="E808" vm="1605">
        <f ca="1"/>
        <v>42.18</v>
      </c>
      <c r="F808" s="3">
        <f t="shared" ca="1" si="85"/>
        <v>8.2612211888394668E-2</v>
      </c>
      <c r="G808" s="3">
        <f t="shared" ca="1" si="86"/>
        <v>0.99150828952689041</v>
      </c>
      <c r="H808" s="3">
        <f t="shared" ca="1" si="87"/>
        <v>0.29082086534573393</v>
      </c>
      <c r="I808" s="3">
        <f t="shared" ca="1" si="88"/>
        <v>127.64456681350954</v>
      </c>
      <c r="J808" s="3">
        <f t="shared" ca="1" si="89"/>
        <v>10.635311990212072</v>
      </c>
      <c r="K808" s="3">
        <f t="shared" ca="1" si="90"/>
        <v>36.25943409343715</v>
      </c>
    </row>
    <row r="809" spans="3:11" x14ac:dyDescent="0.35">
      <c r="C809" t="str">
        <f t="shared" ca="1" si="84"/>
        <v>1Q2023</v>
      </c>
      <c r="D809" vm="1606">
        <f ca="1"/>
        <v>45118</v>
      </c>
      <c r="E809" vm="1607">
        <f ca="1"/>
        <v>42.405000000000001</v>
      </c>
      <c r="F809" s="3">
        <f t="shared" ca="1" si="85"/>
        <v>8.2612211888394668E-2</v>
      </c>
      <c r="G809" s="3">
        <f t="shared" ca="1" si="86"/>
        <v>0.99150828952689041</v>
      </c>
      <c r="H809" s="3">
        <f t="shared" ca="1" si="87"/>
        <v>0.29082086534573393</v>
      </c>
      <c r="I809" s="3">
        <f t="shared" ca="1" si="88"/>
        <v>128.32545888399412</v>
      </c>
      <c r="J809" s="3">
        <f t="shared" ca="1" si="89"/>
        <v>10.692043739804241</v>
      </c>
      <c r="K809" s="3">
        <f t="shared" ca="1" si="90"/>
        <v>36.452852127363741</v>
      </c>
    </row>
    <row r="810" spans="3:11" x14ac:dyDescent="0.35">
      <c r="C810" t="str">
        <f t="shared" ca="1" si="84"/>
        <v>1Q2023</v>
      </c>
      <c r="D810" vm="1608">
        <f ca="1"/>
        <v>45119</v>
      </c>
      <c r="E810" vm="1609">
        <f ca="1"/>
        <v>43.902000000000001</v>
      </c>
      <c r="F810" s="3">
        <f t="shared" ca="1" si="85"/>
        <v>8.2612211888394668E-2</v>
      </c>
      <c r="G810" s="3">
        <f t="shared" ca="1" si="86"/>
        <v>0.99150828952689041</v>
      </c>
      <c r="H810" s="3">
        <f t="shared" ca="1" si="87"/>
        <v>0.29082086534573393</v>
      </c>
      <c r="I810" s="3">
        <f t="shared" ca="1" si="88"/>
        <v>132.85566079295154</v>
      </c>
      <c r="J810" s="3">
        <f t="shared" ca="1" si="89"/>
        <v>11.069498980424143</v>
      </c>
      <c r="K810" s="3">
        <f t="shared" ca="1" si="90"/>
        <v>37.739726779755287</v>
      </c>
    </row>
    <row r="811" spans="3:11" x14ac:dyDescent="0.35">
      <c r="C811" t="str">
        <f t="shared" ca="1" si="84"/>
        <v>1Q2023</v>
      </c>
      <c r="D811" vm="1610">
        <f ca="1"/>
        <v>45120</v>
      </c>
      <c r="E811" vm="1611">
        <f ca="1"/>
        <v>45.976999999999997</v>
      </c>
      <c r="F811" s="3">
        <f t="shared" ca="1" si="85"/>
        <v>8.2612211888394668E-2</v>
      </c>
      <c r="G811" s="3">
        <f t="shared" ca="1" si="86"/>
        <v>0.99150828952689041</v>
      </c>
      <c r="H811" s="3">
        <f t="shared" ca="1" si="87"/>
        <v>0.29082086534573393</v>
      </c>
      <c r="I811" s="3">
        <f t="shared" ca="1" si="88"/>
        <v>139.13499877630932</v>
      </c>
      <c r="J811" s="3">
        <f t="shared" ca="1" si="89"/>
        <v>11.592691782218596</v>
      </c>
      <c r="K811" s="3">
        <f t="shared" ca="1" si="90"/>
        <v>39.523470870411565</v>
      </c>
    </row>
    <row r="812" spans="3:11" x14ac:dyDescent="0.35">
      <c r="C812" t="str">
        <f t="shared" ca="1" si="84"/>
        <v>1Q2023</v>
      </c>
      <c r="D812" vm="1612">
        <f ca="1"/>
        <v>45121</v>
      </c>
      <c r="E812" vm="1613">
        <f ca="1"/>
        <v>45.469000000000001</v>
      </c>
      <c r="F812" s="3">
        <f t="shared" ca="1" si="85"/>
        <v>8.2612211888394668E-2</v>
      </c>
      <c r="G812" s="3">
        <f t="shared" ca="1" si="86"/>
        <v>0.99150828952689041</v>
      </c>
      <c r="H812" s="3">
        <f t="shared" ca="1" si="87"/>
        <v>0.29082086534573393</v>
      </c>
      <c r="I812" s="3">
        <f t="shared" ca="1" si="88"/>
        <v>137.59769579050416</v>
      </c>
      <c r="J812" s="3">
        <f t="shared" ca="1" si="89"/>
        <v>11.464604098694943</v>
      </c>
      <c r="K812" s="3">
        <f t="shared" ca="1" si="90"/>
        <v>39.086775931590658</v>
      </c>
    </row>
    <row r="813" spans="3:11" x14ac:dyDescent="0.35">
      <c r="C813" t="str">
        <f t="shared" ca="1" si="84"/>
        <v>1Q2023</v>
      </c>
      <c r="D813" vm="1614">
        <f ca="1"/>
        <v>45124</v>
      </c>
      <c r="E813" vm="1615">
        <f ca="1"/>
        <v>46.460999999999999</v>
      </c>
      <c r="F813" s="3">
        <f t="shared" ca="1" si="85"/>
        <v>8.2612211888394668E-2</v>
      </c>
      <c r="G813" s="3">
        <f t="shared" ca="1" si="86"/>
        <v>0.99150828952689041</v>
      </c>
      <c r="H813" s="3">
        <f t="shared" ca="1" si="87"/>
        <v>0.29082086534573393</v>
      </c>
      <c r="I813" s="3">
        <f t="shared" ca="1" si="88"/>
        <v>140.59967327459617</v>
      </c>
      <c r="J813" s="3">
        <f t="shared" ca="1" si="89"/>
        <v>11.714728079119086</v>
      </c>
      <c r="K813" s="3">
        <f t="shared" ca="1" si="90"/>
        <v>39.939534552280307</v>
      </c>
    </row>
    <row r="814" spans="3:11" x14ac:dyDescent="0.35">
      <c r="C814" t="str">
        <f t="shared" ca="1" si="84"/>
        <v>1Q2023</v>
      </c>
      <c r="D814" vm="1616">
        <f ca="1"/>
        <v>45125</v>
      </c>
      <c r="E814" vm="1617">
        <f ca="1"/>
        <v>47.494</v>
      </c>
      <c r="F814" s="3">
        <f t="shared" ca="1" si="85"/>
        <v>8.2612211888394668E-2</v>
      </c>
      <c r="G814" s="3">
        <f t="shared" ca="1" si="86"/>
        <v>0.99150828952689041</v>
      </c>
      <c r="H814" s="3">
        <f t="shared" ca="1" si="87"/>
        <v>0.29082086534573393</v>
      </c>
      <c r="I814" s="3">
        <f t="shared" ca="1" si="88"/>
        <v>143.72572442486538</v>
      </c>
      <c r="J814" s="3">
        <f t="shared" ca="1" si="89"/>
        <v>11.97518984502447</v>
      </c>
      <c r="K814" s="3">
        <f t="shared" ca="1" si="90"/>
        <v>40.827538236929925</v>
      </c>
    </row>
    <row r="815" spans="3:11" x14ac:dyDescent="0.35">
      <c r="C815" t="str">
        <f t="shared" ca="1" si="84"/>
        <v>1Q2023</v>
      </c>
      <c r="D815" vm="1618">
        <f ca="1"/>
        <v>45126</v>
      </c>
      <c r="E815" vm="1619">
        <f ca="1"/>
        <v>47.076999999999998</v>
      </c>
      <c r="F815" s="3">
        <f t="shared" ca="1" si="85"/>
        <v>8.2612211888394668E-2</v>
      </c>
      <c r="G815" s="3">
        <f t="shared" ca="1" si="86"/>
        <v>0.99150828952689041</v>
      </c>
      <c r="H815" s="3">
        <f t="shared" ca="1" si="87"/>
        <v>0.29082086534573393</v>
      </c>
      <c r="I815" s="3">
        <f t="shared" ca="1" si="88"/>
        <v>142.46380445423395</v>
      </c>
      <c r="J815" s="3">
        <f t="shared" ca="1" si="89"/>
        <v>11.870047002446981</v>
      </c>
      <c r="K815" s="3">
        <f t="shared" ca="1" si="90"/>
        <v>40.469070147385985</v>
      </c>
    </row>
    <row r="816" spans="3:11" x14ac:dyDescent="0.35">
      <c r="C816" t="str">
        <f t="shared" ca="1" si="84"/>
        <v>1Q2023</v>
      </c>
      <c r="D816" vm="1620">
        <f ca="1"/>
        <v>45127</v>
      </c>
      <c r="E816" vm="1621">
        <f ca="1"/>
        <v>45.52</v>
      </c>
      <c r="F816" s="3">
        <f t="shared" ca="1" si="85"/>
        <v>8.2612211888394668E-2</v>
      </c>
      <c r="G816" s="3">
        <f t="shared" ca="1" si="86"/>
        <v>0.99150828952689041</v>
      </c>
      <c r="H816" s="3">
        <f t="shared" ca="1" si="87"/>
        <v>0.29082086534573393</v>
      </c>
      <c r="I816" s="3">
        <f t="shared" ca="1" si="88"/>
        <v>137.75203132648068</v>
      </c>
      <c r="J816" s="3">
        <f t="shared" ca="1" si="89"/>
        <v>11.477463295269169</v>
      </c>
      <c r="K816" s="3">
        <f t="shared" ca="1" si="90"/>
        <v>39.130617352614017</v>
      </c>
    </row>
    <row r="817" spans="3:11" x14ac:dyDescent="0.35">
      <c r="C817" t="str">
        <f t="shared" ca="1" si="84"/>
        <v>1Q2023</v>
      </c>
      <c r="D817" vm="1622">
        <f ca="1"/>
        <v>45128</v>
      </c>
      <c r="E817" vm="1623">
        <f ca="1"/>
        <v>44.308999999999997</v>
      </c>
      <c r="F817" s="3">
        <f t="shared" ca="1" si="85"/>
        <v>8.2612211888394668E-2</v>
      </c>
      <c r="G817" s="3">
        <f t="shared" ca="1" si="86"/>
        <v>0.99150828952689041</v>
      </c>
      <c r="H817" s="3">
        <f t="shared" ca="1" si="87"/>
        <v>0.29082086534573393</v>
      </c>
      <c r="I817" s="3">
        <f t="shared" ca="1" si="88"/>
        <v>134.08731889378365</v>
      </c>
      <c r="J817" s="3">
        <f t="shared" ca="1" si="89"/>
        <v>11.172120411908645</v>
      </c>
      <c r="K817" s="3">
        <f t="shared" ca="1" si="90"/>
        <v>38.089598512235817</v>
      </c>
    </row>
    <row r="818" spans="3:11" x14ac:dyDescent="0.35">
      <c r="C818" t="str">
        <f t="shared" ca="1" si="84"/>
        <v>1Q2023</v>
      </c>
      <c r="D818" vm="1624">
        <f ca="1"/>
        <v>45131</v>
      </c>
      <c r="E818" vm="1625">
        <f ca="1"/>
        <v>44.612000000000002</v>
      </c>
      <c r="F818" s="3">
        <f t="shared" ca="1" si="85"/>
        <v>8.2612211888394668E-2</v>
      </c>
      <c r="G818" s="3">
        <f t="shared" ca="1" si="86"/>
        <v>0.99150828952689041</v>
      </c>
      <c r="H818" s="3">
        <f t="shared" ca="1" si="87"/>
        <v>0.29082086534573393</v>
      </c>
      <c r="I818" s="3">
        <f t="shared" ca="1" si="88"/>
        <v>135.00425354870288</v>
      </c>
      <c r="J818" s="3">
        <f t="shared" ca="1" si="89"/>
        <v>11.248519168026101</v>
      </c>
      <c r="K818" s="3">
        <f t="shared" ca="1" si="90"/>
        <v>38.350068131256954</v>
      </c>
    </row>
    <row r="819" spans="3:11" x14ac:dyDescent="0.35">
      <c r="C819" t="str">
        <f t="shared" ca="1" si="84"/>
        <v>1Q2023</v>
      </c>
      <c r="D819" vm="1626">
        <f ca="1"/>
        <v>45132</v>
      </c>
      <c r="E819" vm="1627">
        <f ca="1"/>
        <v>45.679000000000002</v>
      </c>
      <c r="F819" s="3">
        <f t="shared" ca="1" si="85"/>
        <v>8.2612211888394668E-2</v>
      </c>
      <c r="G819" s="3">
        <f t="shared" ca="1" si="86"/>
        <v>0.99150828952689041</v>
      </c>
      <c r="H819" s="3">
        <f t="shared" ca="1" si="87"/>
        <v>0.29082086534573393</v>
      </c>
      <c r="I819" s="3">
        <f t="shared" ca="1" si="88"/>
        <v>138.23319505628976</v>
      </c>
      <c r="J819" s="3">
        <f t="shared" ca="1" si="89"/>
        <v>11.517553731647634</v>
      </c>
      <c r="K819" s="3">
        <f t="shared" ca="1" si="90"/>
        <v>39.26729942992214</v>
      </c>
    </row>
    <row r="820" spans="3:11" x14ac:dyDescent="0.35">
      <c r="C820" t="str">
        <f t="shared" ca="1" si="84"/>
        <v>1Q2023</v>
      </c>
      <c r="D820" vm="1628">
        <f ca="1"/>
        <v>45133</v>
      </c>
      <c r="E820" vm="1629">
        <f ca="1"/>
        <v>45.451999999999998</v>
      </c>
      <c r="F820" s="3">
        <f t="shared" ca="1" si="85"/>
        <v>8.2612211888394668E-2</v>
      </c>
      <c r="G820" s="3">
        <f t="shared" ca="1" si="86"/>
        <v>0.99150828952689041</v>
      </c>
      <c r="H820" s="3">
        <f t="shared" ca="1" si="87"/>
        <v>0.29082086534573393</v>
      </c>
      <c r="I820" s="3">
        <f t="shared" ca="1" si="88"/>
        <v>137.54625061184532</v>
      </c>
      <c r="J820" s="3">
        <f t="shared" ca="1" si="89"/>
        <v>11.460317699836867</v>
      </c>
      <c r="K820" s="3">
        <f t="shared" ca="1" si="90"/>
        <v>39.072162124582867</v>
      </c>
    </row>
    <row r="821" spans="3:11" x14ac:dyDescent="0.35">
      <c r="C821" t="str">
        <f t="shared" ca="1" si="84"/>
        <v>1Q2023</v>
      </c>
      <c r="D821" vm="1630">
        <f ca="1"/>
        <v>45134</v>
      </c>
      <c r="E821" vm="1631">
        <f ca="1"/>
        <v>45.9</v>
      </c>
      <c r="F821" s="3">
        <f t="shared" ca="1" si="85"/>
        <v>8.2612211888394668E-2</v>
      </c>
      <c r="G821" s="3">
        <f t="shared" ca="1" si="86"/>
        <v>0.99150828952689041</v>
      </c>
      <c r="H821" s="3">
        <f t="shared" ca="1" si="87"/>
        <v>0.29082086534573393</v>
      </c>
      <c r="I821" s="3">
        <f t="shared" ca="1" si="88"/>
        <v>138.9019823788546</v>
      </c>
      <c r="J821" s="3">
        <f t="shared" ca="1" si="89"/>
        <v>11.573276916802611</v>
      </c>
      <c r="K821" s="3">
        <f t="shared" ca="1" si="90"/>
        <v>39.457278921023359</v>
      </c>
    </row>
    <row r="822" spans="3:11" x14ac:dyDescent="0.35">
      <c r="C822" t="str">
        <f t="shared" ca="1" si="84"/>
        <v>1Q2023</v>
      </c>
      <c r="D822" vm="1632">
        <f ca="1"/>
        <v>45135</v>
      </c>
      <c r="E822" vm="1633">
        <f ca="1"/>
        <v>46.75</v>
      </c>
      <c r="F822" s="3">
        <f t="shared" ca="1" si="85"/>
        <v>8.2612211888394668E-2</v>
      </c>
      <c r="G822" s="3">
        <f t="shared" ca="1" si="86"/>
        <v>0.99150828952689041</v>
      </c>
      <c r="H822" s="3">
        <f t="shared" ca="1" si="87"/>
        <v>0.29082086534573393</v>
      </c>
      <c r="I822" s="3">
        <f t="shared" ca="1" si="88"/>
        <v>141.47424131179636</v>
      </c>
      <c r="J822" s="3">
        <f t="shared" ca="1" si="89"/>
        <v>11.787596859706362</v>
      </c>
      <c r="K822" s="3">
        <f t="shared" ca="1" si="90"/>
        <v>40.187969271412683</v>
      </c>
    </row>
    <row r="823" spans="3:11" x14ac:dyDescent="0.35">
      <c r="C823" t="str">
        <f t="shared" ca="1" si="84"/>
        <v>2Q2023</v>
      </c>
      <c r="D823" vm="1634">
        <f ca="1"/>
        <v>45138</v>
      </c>
      <c r="E823" vm="1635">
        <f ca="1"/>
        <v>46.728999999999999</v>
      </c>
      <c r="F823" s="3">
        <f t="shared" ca="1" si="85"/>
        <v>0.25062778452814904</v>
      </c>
      <c r="G823" s="3">
        <f t="shared" ca="1" si="86"/>
        <v>1.1138112596192791</v>
      </c>
      <c r="H823" s="3">
        <f t="shared" ca="1" si="87"/>
        <v>0.54706358849736736</v>
      </c>
      <c r="I823" s="3">
        <f t="shared" ca="1" si="88"/>
        <v>46.611950953458305</v>
      </c>
      <c r="J823" s="3">
        <f t="shared" ca="1" si="89"/>
        <v>10.488536454545454</v>
      </c>
      <c r="K823" s="3">
        <f t="shared" ca="1" si="90"/>
        <v>21.354464536906789</v>
      </c>
    </row>
    <row r="824" spans="3:11" x14ac:dyDescent="0.35">
      <c r="C824" t="str">
        <f t="shared" ca="1" si="84"/>
        <v>2Q2023</v>
      </c>
      <c r="D824" vm="1636">
        <f ca="1"/>
        <v>45139</v>
      </c>
      <c r="E824" vm="1637">
        <f ca="1"/>
        <v>46.506999999999998</v>
      </c>
      <c r="F824" s="3">
        <f t="shared" ca="1" si="85"/>
        <v>0.25062778452814904</v>
      </c>
      <c r="G824" s="3">
        <f t="shared" ca="1" si="86"/>
        <v>1.1138112596192791</v>
      </c>
      <c r="H824" s="3">
        <f t="shared" ca="1" si="87"/>
        <v>0.54706358849736736</v>
      </c>
      <c r="I824" s="3">
        <f t="shared" ca="1" si="88"/>
        <v>46.39050702973497</v>
      </c>
      <c r="J824" s="3">
        <f t="shared" ca="1" si="89"/>
        <v>10.438707545454545</v>
      </c>
      <c r="K824" s="3">
        <f t="shared" ca="1" si="90"/>
        <v>21.253013807655289</v>
      </c>
    </row>
    <row r="825" spans="3:11" x14ac:dyDescent="0.35">
      <c r="C825" t="str">
        <f t="shared" ca="1" si="84"/>
        <v>2Q2023</v>
      </c>
      <c r="D825" vm="1638">
        <f ca="1"/>
        <v>45140</v>
      </c>
      <c r="E825" vm="1639">
        <f ca="1"/>
        <v>44.268999999999998</v>
      </c>
      <c r="F825" s="3">
        <f t="shared" ca="1" si="85"/>
        <v>0.25062778452814904</v>
      </c>
      <c r="G825" s="3">
        <f t="shared" ca="1" si="86"/>
        <v>1.1138112596192791</v>
      </c>
      <c r="H825" s="3">
        <f t="shared" ca="1" si="87"/>
        <v>0.54706358849736736</v>
      </c>
      <c r="I825" s="3">
        <f t="shared" ca="1" si="88"/>
        <v>44.158112879767287</v>
      </c>
      <c r="J825" s="3">
        <f t="shared" ca="1" si="89"/>
        <v>9.9363782727272731</v>
      </c>
      <c r="K825" s="3">
        <f t="shared" ca="1" si="90"/>
        <v>20.23028078033612</v>
      </c>
    </row>
    <row r="826" spans="3:11" x14ac:dyDescent="0.35">
      <c r="C826" t="str">
        <f t="shared" ca="1" si="84"/>
        <v>2Q2023</v>
      </c>
      <c r="D826" vm="1640">
        <f ca="1"/>
        <v>45141</v>
      </c>
      <c r="E826" vm="1641">
        <f ca="1"/>
        <v>44.515000000000001</v>
      </c>
      <c r="F826" s="3">
        <f t="shared" ca="1" si="85"/>
        <v>0.25062778452814904</v>
      </c>
      <c r="G826" s="3">
        <f t="shared" ca="1" si="86"/>
        <v>1.1138112596192791</v>
      </c>
      <c r="H826" s="3">
        <f t="shared" ca="1" si="87"/>
        <v>0.54706358849736736</v>
      </c>
      <c r="I826" s="3">
        <f t="shared" ca="1" si="88"/>
        <v>44.403496687136396</v>
      </c>
      <c r="J826" s="3">
        <f t="shared" ca="1" si="89"/>
        <v>9.991594090909091</v>
      </c>
      <c r="K826" s="3">
        <f t="shared" ca="1" si="90"/>
        <v>20.342699155993188</v>
      </c>
    </row>
    <row r="827" spans="3:11" x14ac:dyDescent="0.35">
      <c r="C827" t="str">
        <f t="shared" ca="1" si="84"/>
        <v>2Q2023</v>
      </c>
      <c r="D827" vm="1642">
        <f ca="1"/>
        <v>45142</v>
      </c>
      <c r="E827" vm="1643">
        <f ca="1"/>
        <v>44.68</v>
      </c>
      <c r="F827" s="3">
        <f t="shared" ca="1" si="85"/>
        <v>0.25062778452814904</v>
      </c>
      <c r="G827" s="3">
        <f t="shared" ca="1" si="86"/>
        <v>1.1138112596192791</v>
      </c>
      <c r="H827" s="3">
        <f t="shared" ca="1" si="87"/>
        <v>0.54706358849736736</v>
      </c>
      <c r="I827" s="3">
        <f t="shared" ca="1" si="88"/>
        <v>44.568083387201035</v>
      </c>
      <c r="J827" s="3">
        <f t="shared" ca="1" si="89"/>
        <v>10.02862909090909</v>
      </c>
      <c r="K827" s="3">
        <f t="shared" ca="1" si="90"/>
        <v>20.418101725031466</v>
      </c>
    </row>
    <row r="828" spans="3:11" x14ac:dyDescent="0.35">
      <c r="C828" t="str">
        <f t="shared" ca="1" si="84"/>
        <v>2Q2023</v>
      </c>
      <c r="D828" vm="1644">
        <f ca="1"/>
        <v>45145</v>
      </c>
      <c r="E828" vm="1645">
        <f ca="1"/>
        <v>45.416499999999999</v>
      </c>
      <c r="F828" s="3">
        <f t="shared" ca="1" si="85"/>
        <v>0.25062778452814904</v>
      </c>
      <c r="G828" s="3">
        <f t="shared" ca="1" si="86"/>
        <v>1.1138112596192791</v>
      </c>
      <c r="H828" s="3">
        <f t="shared" ca="1" si="87"/>
        <v>0.54706358849736736</v>
      </c>
      <c r="I828" s="3">
        <f t="shared" ca="1" si="88"/>
        <v>45.30273856658048</v>
      </c>
      <c r="J828" s="3">
        <f t="shared" ca="1" si="89"/>
        <v>10.193939863636363</v>
      </c>
      <c r="K828" s="3">
        <f t="shared" ca="1" si="90"/>
        <v>20.754671374102315</v>
      </c>
    </row>
    <row r="829" spans="3:11" x14ac:dyDescent="0.35">
      <c r="C829" t="str">
        <f t="shared" ca="1" si="84"/>
        <v>2Q2023</v>
      </c>
      <c r="D829" vm="1646">
        <f ca="1"/>
        <v>45146</v>
      </c>
      <c r="E829" vm="1647">
        <f ca="1"/>
        <v>44.664000000000001</v>
      </c>
      <c r="F829" s="3">
        <f t="shared" ca="1" si="85"/>
        <v>0.25062778452814904</v>
      </c>
      <c r="G829" s="3">
        <f t="shared" ca="1" si="86"/>
        <v>1.1138112596192791</v>
      </c>
      <c r="H829" s="3">
        <f t="shared" ca="1" si="87"/>
        <v>0.54706358849736736</v>
      </c>
      <c r="I829" s="3">
        <f t="shared" ca="1" si="88"/>
        <v>44.552123464770524</v>
      </c>
      <c r="J829" s="3">
        <f t="shared" ca="1" si="89"/>
        <v>10.025037818181818</v>
      </c>
      <c r="K829" s="3">
        <f t="shared" ca="1" si="90"/>
        <v>20.410789960761086</v>
      </c>
    </row>
    <row r="830" spans="3:11" x14ac:dyDescent="0.35">
      <c r="C830" t="str">
        <f t="shared" ca="1" si="84"/>
        <v>2Q2023</v>
      </c>
      <c r="D830" vm="1648">
        <f ca="1"/>
        <v>45147</v>
      </c>
      <c r="E830" vm="1649">
        <f ca="1"/>
        <v>42.554000000000002</v>
      </c>
      <c r="F830" s="3">
        <f t="shared" ca="1" si="85"/>
        <v>0.25062778452814904</v>
      </c>
      <c r="G830" s="3">
        <f t="shared" ca="1" si="86"/>
        <v>1.1138112596192791</v>
      </c>
      <c r="H830" s="3">
        <f t="shared" ca="1" si="87"/>
        <v>0.54706358849736736</v>
      </c>
      <c r="I830" s="3">
        <f t="shared" ca="1" si="88"/>
        <v>42.447408694246931</v>
      </c>
      <c r="J830" s="3">
        <f t="shared" ca="1" si="89"/>
        <v>9.5514387272727284</v>
      </c>
      <c r="K830" s="3">
        <f t="shared" ca="1" si="90"/>
        <v>19.446551047604945</v>
      </c>
    </row>
    <row r="831" spans="3:11" x14ac:dyDescent="0.35">
      <c r="C831" t="str">
        <f t="shared" ca="1" si="84"/>
        <v>2Q2023</v>
      </c>
      <c r="D831" vm="1650">
        <f ca="1"/>
        <v>45148</v>
      </c>
      <c r="E831" vm="1651">
        <f ca="1"/>
        <v>42.387999999999998</v>
      </c>
      <c r="F831" s="3">
        <f t="shared" ca="1" si="85"/>
        <v>0.25062778452814904</v>
      </c>
      <c r="G831" s="3">
        <f t="shared" ca="1" si="86"/>
        <v>1.1138112596192791</v>
      </c>
      <c r="H831" s="3">
        <f t="shared" ca="1" si="87"/>
        <v>0.54706358849736736</v>
      </c>
      <c r="I831" s="3">
        <f t="shared" ca="1" si="88"/>
        <v>42.281824499030378</v>
      </c>
      <c r="J831" s="3">
        <f t="shared" ca="1" si="89"/>
        <v>9.5141792727272723</v>
      </c>
      <c r="K831" s="3">
        <f t="shared" ca="1" si="90"/>
        <v>19.37069149329977</v>
      </c>
    </row>
    <row r="832" spans="3:11" x14ac:dyDescent="0.35">
      <c r="C832" t="str">
        <f t="shared" ca="1" si="84"/>
        <v>2Q2023</v>
      </c>
      <c r="D832" vm="1652">
        <f ca="1"/>
        <v>45149</v>
      </c>
      <c r="E832" vm="1653">
        <f ca="1"/>
        <v>40.854999999999997</v>
      </c>
      <c r="F832" s="3">
        <f t="shared" ca="1" si="85"/>
        <v>0.25062778452814904</v>
      </c>
      <c r="G832" s="3">
        <f t="shared" ca="1" si="86"/>
        <v>1.1138112596192791</v>
      </c>
      <c r="H832" s="3">
        <f t="shared" ca="1" si="87"/>
        <v>0.54706358849736736</v>
      </c>
      <c r="I832" s="3">
        <f t="shared" ca="1" si="88"/>
        <v>40.752664431157079</v>
      </c>
      <c r="J832" s="3">
        <f t="shared" ca="1" si="89"/>
        <v>9.1700904545454538</v>
      </c>
      <c r="K832" s="3">
        <f t="shared" ca="1" si="90"/>
        <v>18.670133079144147</v>
      </c>
    </row>
    <row r="833" spans="3:11" x14ac:dyDescent="0.35">
      <c r="C833" t="str">
        <f t="shared" ca="1" si="84"/>
        <v>2Q2023</v>
      </c>
      <c r="D833" vm="1654">
        <f ca="1"/>
        <v>45152</v>
      </c>
      <c r="E833" vm="1655">
        <f ca="1"/>
        <v>43.753</v>
      </c>
      <c r="F833" s="3">
        <f t="shared" ca="1" si="85"/>
        <v>0.25062778452814904</v>
      </c>
      <c r="G833" s="3">
        <f t="shared" ca="1" si="86"/>
        <v>1.1138112596192791</v>
      </c>
      <c r="H833" s="3">
        <f t="shared" ca="1" si="87"/>
        <v>0.54706358849736736</v>
      </c>
      <c r="I833" s="3">
        <f t="shared" ca="1" si="88"/>
        <v>43.643405381383324</v>
      </c>
      <c r="J833" s="3">
        <f t="shared" ca="1" si="89"/>
        <v>9.8205597272727267</v>
      </c>
      <c r="K833" s="3">
        <f t="shared" ca="1" si="90"/>
        <v>19.994476382616423</v>
      </c>
    </row>
    <row r="834" spans="3:11" x14ac:dyDescent="0.35">
      <c r="C834" t="str">
        <f t="shared" ca="1" si="84"/>
        <v>2Q2023</v>
      </c>
      <c r="D834" vm="1656">
        <f ca="1"/>
        <v>45153</v>
      </c>
      <c r="E834" vm="1657">
        <f ca="1"/>
        <v>43.94</v>
      </c>
      <c r="F834" s="3">
        <f t="shared" ca="1" si="85"/>
        <v>0.25062778452814904</v>
      </c>
      <c r="G834" s="3">
        <f t="shared" ca="1" si="86"/>
        <v>1.1138112596192791</v>
      </c>
      <c r="H834" s="3">
        <f t="shared" ca="1" si="87"/>
        <v>0.54706358849736736</v>
      </c>
      <c r="I834" s="3">
        <f t="shared" ca="1" si="88"/>
        <v>43.829936974789916</v>
      </c>
      <c r="J834" s="3">
        <f t="shared" ca="1" si="89"/>
        <v>9.8625327272727272</v>
      </c>
      <c r="K834" s="3">
        <f t="shared" ca="1" si="90"/>
        <v>20.079932627526468</v>
      </c>
    </row>
    <row r="835" spans="3:11" x14ac:dyDescent="0.35">
      <c r="C835" t="str">
        <f t="shared" ref="C835:C898" ca="1" si="91">LOOKUP(D835,$N$2:$N$27,$M$2:$M$27)</f>
        <v>2Q2023</v>
      </c>
      <c r="D835" vm="1658">
        <f ca="1"/>
        <v>45154</v>
      </c>
      <c r="E835" vm="1659">
        <f ca="1"/>
        <v>43.485999999999997</v>
      </c>
      <c r="F835" s="3">
        <f t="shared" ca="1" si="85"/>
        <v>0.25062778452814904</v>
      </c>
      <c r="G835" s="3">
        <f t="shared" ca="1" si="86"/>
        <v>1.1138112596192791</v>
      </c>
      <c r="H835" s="3">
        <f t="shared" ca="1" si="87"/>
        <v>0.54706358849736736</v>
      </c>
      <c r="I835" s="3">
        <f t="shared" ca="1" si="88"/>
        <v>43.377074175824177</v>
      </c>
      <c r="J835" s="3">
        <f t="shared" ca="1" si="89"/>
        <v>9.7606303636363627</v>
      </c>
      <c r="K835" s="3">
        <f t="shared" ca="1" si="90"/>
        <v>19.872461316354482</v>
      </c>
    </row>
    <row r="836" spans="3:11" x14ac:dyDescent="0.35">
      <c r="C836" t="str">
        <f t="shared" ca="1" si="91"/>
        <v>2Q2023</v>
      </c>
      <c r="D836" vm="1660">
        <f ca="1"/>
        <v>45155</v>
      </c>
      <c r="E836" vm="1661">
        <f ca="1"/>
        <v>43.343499999999999</v>
      </c>
      <c r="F836" s="3">
        <f t="shared" ref="F836:F899" ca="1" si="92">VLOOKUP($C836,$M$2:$R$27,4,0)/VLOOKUP($C836,$M$2:$R$27,3,0)</f>
        <v>0.25062778452814904</v>
      </c>
      <c r="G836" s="3">
        <f t="shared" ref="G836:G899" ca="1" si="93">VLOOKUP($C836,$M$2:$R$27,6,0)/VLOOKUP($C836,$M$2:$R$27,3,0)</f>
        <v>1.1138112596192791</v>
      </c>
      <c r="H836" s="3">
        <f t="shared" ref="H836:H899" ca="1" si="94">VLOOKUP($C836,$M$2:$R$27,5,0)/VLOOKUP($C836,$M$2:$R$27,3,0)</f>
        <v>0.54706358849736736</v>
      </c>
      <c r="I836" s="3">
        <f t="shared" ref="I836:I899" ca="1" si="95">$E836/(F836*4)</f>
        <v>43.234931116677437</v>
      </c>
      <c r="J836" s="3">
        <f t="shared" ref="J836:J899" ca="1" si="96">$E836/(G836*4)</f>
        <v>9.7286455909090908</v>
      </c>
      <c r="K836" s="3">
        <f t="shared" ref="K836:K899" ca="1" si="97">$E836/(H836*4)</f>
        <v>19.807340915821424</v>
      </c>
    </row>
    <row r="837" spans="3:11" x14ac:dyDescent="0.35">
      <c r="C837" t="str">
        <f t="shared" ca="1" si="91"/>
        <v>2Q2023</v>
      </c>
      <c r="D837" vm="1662">
        <f ca="1"/>
        <v>45156</v>
      </c>
      <c r="E837" vm="1663">
        <f ca="1"/>
        <v>43.298999999999999</v>
      </c>
      <c r="F837" s="3">
        <f t="shared" ca="1" si="92"/>
        <v>0.25062778452814904</v>
      </c>
      <c r="G837" s="3">
        <f t="shared" ca="1" si="93"/>
        <v>1.1138112596192791</v>
      </c>
      <c r="H837" s="3">
        <f t="shared" ca="1" si="94"/>
        <v>0.54706358849736736</v>
      </c>
      <c r="I837" s="3">
        <f t="shared" ca="1" si="95"/>
        <v>43.190542582417585</v>
      </c>
      <c r="J837" s="3">
        <f t="shared" ca="1" si="96"/>
        <v>9.718657363636364</v>
      </c>
      <c r="K837" s="3">
        <f t="shared" ca="1" si="97"/>
        <v>19.787005071444437</v>
      </c>
    </row>
    <row r="838" spans="3:11" x14ac:dyDescent="0.35">
      <c r="C838" t="str">
        <f t="shared" ca="1" si="91"/>
        <v>2Q2023</v>
      </c>
      <c r="D838" vm="1664">
        <f ca="1"/>
        <v>45159</v>
      </c>
      <c r="E838" vm="1665">
        <f ca="1"/>
        <v>46.966999999999999</v>
      </c>
      <c r="F838" s="3">
        <f t="shared" ca="1" si="92"/>
        <v>0.25062778452814904</v>
      </c>
      <c r="G838" s="3">
        <f t="shared" ca="1" si="93"/>
        <v>1.1138112596192791</v>
      </c>
      <c r="H838" s="3">
        <f t="shared" ca="1" si="94"/>
        <v>0.54706358849736736</v>
      </c>
      <c r="I838" s="3">
        <f t="shared" ca="1" si="95"/>
        <v>46.849354799612151</v>
      </c>
      <c r="J838" s="3">
        <f t="shared" ca="1" si="96"/>
        <v>10.541956636363636</v>
      </c>
      <c r="K838" s="3">
        <f t="shared" ca="1" si="97"/>
        <v>21.463227030428666</v>
      </c>
    </row>
    <row r="839" spans="3:11" x14ac:dyDescent="0.35">
      <c r="C839" t="str">
        <f t="shared" ca="1" si="91"/>
        <v>2Q2023</v>
      </c>
      <c r="D839" vm="1666">
        <f ca="1"/>
        <v>45160</v>
      </c>
      <c r="E839" vm="1667">
        <f ca="1"/>
        <v>45.667999999999999</v>
      </c>
      <c r="F839" s="3">
        <f t="shared" ca="1" si="92"/>
        <v>0.25062778452814904</v>
      </c>
      <c r="G839" s="3">
        <f t="shared" ca="1" si="93"/>
        <v>1.1138112596192791</v>
      </c>
      <c r="H839" s="3">
        <f t="shared" ca="1" si="94"/>
        <v>0.54706358849736736</v>
      </c>
      <c r="I839" s="3">
        <f t="shared" ca="1" si="95"/>
        <v>45.55360859728507</v>
      </c>
      <c r="J839" s="3">
        <f t="shared" ca="1" si="96"/>
        <v>10.250390181818181</v>
      </c>
      <c r="K839" s="3">
        <f t="shared" ca="1" si="97"/>
        <v>20.869603168727327</v>
      </c>
    </row>
    <row r="840" spans="3:11" x14ac:dyDescent="0.35">
      <c r="C840" t="str">
        <f t="shared" ca="1" si="91"/>
        <v>2Q2023</v>
      </c>
      <c r="D840" vm="1668">
        <f ca="1"/>
        <v>45161</v>
      </c>
      <c r="E840" vm="1669">
        <f ca="1"/>
        <v>47.116</v>
      </c>
      <c r="F840" s="3">
        <f t="shared" ca="1" si="92"/>
        <v>0.25062778452814904</v>
      </c>
      <c r="G840" s="3">
        <f t="shared" ca="1" si="93"/>
        <v>1.1138112596192791</v>
      </c>
      <c r="H840" s="3">
        <f t="shared" ca="1" si="94"/>
        <v>0.54706358849736736</v>
      </c>
      <c r="I840" s="3">
        <f t="shared" ca="1" si="95"/>
        <v>46.997981577246286</v>
      </c>
      <c r="J840" s="3">
        <f t="shared" ca="1" si="96"/>
        <v>10.575400363636364</v>
      </c>
      <c r="K840" s="3">
        <f t="shared" ca="1" si="97"/>
        <v>21.531317835196564</v>
      </c>
    </row>
    <row r="841" spans="3:11" x14ac:dyDescent="0.35">
      <c r="C841" t="str">
        <f t="shared" ca="1" si="91"/>
        <v>2Q2023</v>
      </c>
      <c r="D841" vm="1670">
        <f ca="1"/>
        <v>45162</v>
      </c>
      <c r="E841" vm="1671">
        <f ca="1"/>
        <v>47.162999999999997</v>
      </c>
      <c r="F841" s="3">
        <f t="shared" ca="1" si="92"/>
        <v>0.25062778452814904</v>
      </c>
      <c r="G841" s="3">
        <f t="shared" ca="1" si="93"/>
        <v>1.1138112596192791</v>
      </c>
      <c r="H841" s="3">
        <f t="shared" ca="1" si="94"/>
        <v>0.54706358849736736</v>
      </c>
      <c r="I841" s="3">
        <f t="shared" ca="1" si="95"/>
        <v>47.044863849385905</v>
      </c>
      <c r="J841" s="3">
        <f t="shared" ca="1" si="96"/>
        <v>10.585949727272727</v>
      </c>
      <c r="K841" s="3">
        <f t="shared" ca="1" si="97"/>
        <v>21.552796142740799</v>
      </c>
    </row>
    <row r="842" spans="3:11" x14ac:dyDescent="0.35">
      <c r="C842" t="str">
        <f t="shared" ca="1" si="91"/>
        <v>2Q2023</v>
      </c>
      <c r="D842" vm="1672">
        <f ca="1"/>
        <v>45163</v>
      </c>
      <c r="E842" vm="1673">
        <f ca="1"/>
        <v>46.018000000000001</v>
      </c>
      <c r="F842" s="3">
        <f t="shared" ca="1" si="92"/>
        <v>0.25062778452814904</v>
      </c>
      <c r="G842" s="3">
        <f t="shared" ca="1" si="93"/>
        <v>1.1138112596192791</v>
      </c>
      <c r="H842" s="3">
        <f t="shared" ca="1" si="94"/>
        <v>0.54706358849736736</v>
      </c>
      <c r="I842" s="3">
        <f t="shared" ca="1" si="95"/>
        <v>45.902731900452487</v>
      </c>
      <c r="J842" s="3">
        <f t="shared" ca="1" si="96"/>
        <v>10.328949272727273</v>
      </c>
      <c r="K842" s="3">
        <f t="shared" ca="1" si="97"/>
        <v>21.029548012141852</v>
      </c>
    </row>
    <row r="843" spans="3:11" x14ac:dyDescent="0.35">
      <c r="C843" t="str">
        <f t="shared" ca="1" si="91"/>
        <v>2Q2023</v>
      </c>
      <c r="D843" vm="1674">
        <f ca="1"/>
        <v>45166</v>
      </c>
      <c r="E843" vm="1675">
        <f ca="1"/>
        <v>46.835000000000001</v>
      </c>
      <c r="F843" s="3">
        <f t="shared" ca="1" si="92"/>
        <v>0.25062778452814904</v>
      </c>
      <c r="G843" s="3">
        <f t="shared" ca="1" si="93"/>
        <v>1.1138112596192791</v>
      </c>
      <c r="H843" s="3">
        <f t="shared" ca="1" si="94"/>
        <v>0.54706358849736736</v>
      </c>
      <c r="I843" s="3">
        <f t="shared" ca="1" si="95"/>
        <v>46.717685439560441</v>
      </c>
      <c r="J843" s="3">
        <f t="shared" ca="1" si="96"/>
        <v>10.512328636363636</v>
      </c>
      <c r="K843" s="3">
        <f t="shared" ca="1" si="97"/>
        <v>21.402904975198044</v>
      </c>
    </row>
    <row r="844" spans="3:11" x14ac:dyDescent="0.35">
      <c r="C844" t="str">
        <f t="shared" ca="1" si="91"/>
        <v>2Q2023</v>
      </c>
      <c r="D844" vm="1676">
        <f ca="1"/>
        <v>45167</v>
      </c>
      <c r="E844" vm="1677">
        <f ca="1"/>
        <v>48.783999999999999</v>
      </c>
      <c r="F844" s="3">
        <f t="shared" ca="1" si="92"/>
        <v>0.25062778452814904</v>
      </c>
      <c r="G844" s="3">
        <f t="shared" ca="1" si="93"/>
        <v>1.1138112596192791</v>
      </c>
      <c r="H844" s="3">
        <f t="shared" ca="1" si="94"/>
        <v>0.54706358849736736</v>
      </c>
      <c r="I844" s="3">
        <f t="shared" ca="1" si="95"/>
        <v>48.661803490627022</v>
      </c>
      <c r="J844" s="3">
        <f t="shared" ca="1" si="96"/>
        <v>10.949790545454546</v>
      </c>
      <c r="K844" s="3">
        <f t="shared" ca="1" si="97"/>
        <v>22.293569260383503</v>
      </c>
    </row>
    <row r="845" spans="3:11" x14ac:dyDescent="0.35">
      <c r="C845" t="str">
        <f t="shared" ca="1" si="91"/>
        <v>2Q2023</v>
      </c>
      <c r="D845" vm="1678">
        <f ca="1"/>
        <v>45168</v>
      </c>
      <c r="E845" vm="1679">
        <f ca="1"/>
        <v>49.264000000000003</v>
      </c>
      <c r="F845" s="3">
        <f t="shared" ca="1" si="92"/>
        <v>0.25062778452814904</v>
      </c>
      <c r="G845" s="3">
        <f t="shared" ca="1" si="93"/>
        <v>1.1138112596192791</v>
      </c>
      <c r="H845" s="3">
        <f t="shared" ca="1" si="94"/>
        <v>0.54706358849736736</v>
      </c>
      <c r="I845" s="3">
        <f t="shared" ca="1" si="95"/>
        <v>49.140601163542343</v>
      </c>
      <c r="J845" s="3">
        <f t="shared" ca="1" si="96"/>
        <v>11.057528727272727</v>
      </c>
      <c r="K845" s="3">
        <f t="shared" ca="1" si="97"/>
        <v>22.512922188494855</v>
      </c>
    </row>
    <row r="846" spans="3:11" x14ac:dyDescent="0.35">
      <c r="C846" t="str">
        <f t="shared" ca="1" si="91"/>
        <v>2Q2023</v>
      </c>
      <c r="D846" vm="1680">
        <f ca="1"/>
        <v>45169</v>
      </c>
      <c r="E846" vm="1681">
        <f ca="1"/>
        <v>49.354999999999997</v>
      </c>
      <c r="F846" s="3">
        <f t="shared" ca="1" si="92"/>
        <v>0.25062778452814904</v>
      </c>
      <c r="G846" s="3">
        <f t="shared" ca="1" si="93"/>
        <v>1.1138112596192791</v>
      </c>
      <c r="H846" s="3">
        <f t="shared" ca="1" si="94"/>
        <v>0.54706358849736736</v>
      </c>
      <c r="I846" s="3">
        <f t="shared" ca="1" si="95"/>
        <v>49.231373222365868</v>
      </c>
      <c r="J846" s="3">
        <f t="shared" ca="1" si="96"/>
        <v>11.07795409090909</v>
      </c>
      <c r="K846" s="3">
        <f t="shared" ca="1" si="97"/>
        <v>22.554507847782631</v>
      </c>
    </row>
    <row r="847" spans="3:11" x14ac:dyDescent="0.35">
      <c r="C847" t="str">
        <f t="shared" ca="1" si="91"/>
        <v>2Q2023</v>
      </c>
      <c r="D847" vm="1682">
        <f ca="1"/>
        <v>45170</v>
      </c>
      <c r="E847" vm="1683">
        <f ca="1"/>
        <v>48.509</v>
      </c>
      <c r="F847" s="3">
        <f t="shared" ca="1" si="92"/>
        <v>0.25062778452814904</v>
      </c>
      <c r="G847" s="3">
        <f t="shared" ca="1" si="93"/>
        <v>1.1138112596192791</v>
      </c>
      <c r="H847" s="3">
        <f t="shared" ca="1" si="94"/>
        <v>0.54706358849736736</v>
      </c>
      <c r="I847" s="3">
        <f t="shared" ca="1" si="95"/>
        <v>48.387492323852619</v>
      </c>
      <c r="J847" s="3">
        <f t="shared" ca="1" si="96"/>
        <v>10.888065545454545</v>
      </c>
      <c r="K847" s="3">
        <f t="shared" ca="1" si="97"/>
        <v>22.167898311986377</v>
      </c>
    </row>
    <row r="848" spans="3:11" x14ac:dyDescent="0.35">
      <c r="C848" t="str">
        <f t="shared" ca="1" si="91"/>
        <v>2Q2023</v>
      </c>
      <c r="D848" vm="1684">
        <f ca="1"/>
        <v>45174</v>
      </c>
      <c r="E848" vm="1685">
        <f ca="1"/>
        <v>48.548000000000002</v>
      </c>
      <c r="F848" s="3">
        <f t="shared" ca="1" si="92"/>
        <v>0.25062778452814904</v>
      </c>
      <c r="G848" s="3">
        <f t="shared" ca="1" si="93"/>
        <v>1.1138112596192791</v>
      </c>
      <c r="H848" s="3">
        <f t="shared" ca="1" si="94"/>
        <v>0.54706358849736736</v>
      </c>
      <c r="I848" s="3">
        <f t="shared" ca="1" si="95"/>
        <v>48.42639463477699</v>
      </c>
      <c r="J848" s="3">
        <f t="shared" ca="1" si="96"/>
        <v>10.896819272727273</v>
      </c>
      <c r="K848" s="3">
        <f t="shared" ca="1" si="97"/>
        <v>22.185720737395425</v>
      </c>
    </row>
    <row r="849" spans="3:11" x14ac:dyDescent="0.35">
      <c r="C849" t="str">
        <f t="shared" ca="1" si="91"/>
        <v>2Q2023</v>
      </c>
      <c r="D849" vm="1686">
        <f ca="1"/>
        <v>45175</v>
      </c>
      <c r="E849" vm="1687">
        <f ca="1"/>
        <v>47.061</v>
      </c>
      <c r="F849" s="3">
        <f t="shared" ca="1" si="92"/>
        <v>0.25062778452814904</v>
      </c>
      <c r="G849" s="3">
        <f t="shared" ca="1" si="93"/>
        <v>1.1138112596192791</v>
      </c>
      <c r="H849" s="3">
        <f t="shared" ca="1" si="94"/>
        <v>0.54706358849736736</v>
      </c>
      <c r="I849" s="3">
        <f t="shared" ca="1" si="95"/>
        <v>46.943119343891404</v>
      </c>
      <c r="J849" s="3">
        <f t="shared" ca="1" si="96"/>
        <v>10.563055363636364</v>
      </c>
      <c r="K849" s="3">
        <f t="shared" ca="1" si="97"/>
        <v>21.50618364551714</v>
      </c>
    </row>
    <row r="850" spans="3:11" x14ac:dyDescent="0.35">
      <c r="C850" t="str">
        <f t="shared" ca="1" si="91"/>
        <v>2Q2023</v>
      </c>
      <c r="D850" vm="1688">
        <f ca="1"/>
        <v>45176</v>
      </c>
      <c r="E850" vm="1689">
        <f ca="1"/>
        <v>46.241</v>
      </c>
      <c r="F850" s="3">
        <f t="shared" ca="1" si="92"/>
        <v>0.25062778452814904</v>
      </c>
      <c r="G850" s="3">
        <f t="shared" ca="1" si="93"/>
        <v>1.1138112596192791</v>
      </c>
      <c r="H850" s="3">
        <f t="shared" ca="1" si="94"/>
        <v>0.54706358849736736</v>
      </c>
      <c r="I850" s="3">
        <f t="shared" ca="1" si="95"/>
        <v>46.125173319327729</v>
      </c>
      <c r="J850" s="3">
        <f t="shared" ca="1" si="96"/>
        <v>10.379002636363635</v>
      </c>
      <c r="K850" s="3">
        <f t="shared" ca="1" si="97"/>
        <v>21.131455726660249</v>
      </c>
    </row>
    <row r="851" spans="3:11" x14ac:dyDescent="0.35">
      <c r="C851" t="str">
        <f t="shared" ca="1" si="91"/>
        <v>2Q2023</v>
      </c>
      <c r="D851" vm="1690">
        <f ca="1"/>
        <v>45177</v>
      </c>
      <c r="E851" vm="1691">
        <f ca="1"/>
        <v>45.572000000000003</v>
      </c>
      <c r="F851" s="3">
        <f t="shared" ca="1" si="92"/>
        <v>0.25062778452814904</v>
      </c>
      <c r="G851" s="3">
        <f t="shared" ca="1" si="93"/>
        <v>1.1138112596192791</v>
      </c>
      <c r="H851" s="3">
        <f t="shared" ca="1" si="94"/>
        <v>0.54706358849736736</v>
      </c>
      <c r="I851" s="3">
        <f t="shared" ca="1" si="95"/>
        <v>45.45784906270201</v>
      </c>
      <c r="J851" s="3">
        <f t="shared" ca="1" si="96"/>
        <v>10.228842545454546</v>
      </c>
      <c r="K851" s="3">
        <f t="shared" ca="1" si="97"/>
        <v>20.825732583105058</v>
      </c>
    </row>
    <row r="852" spans="3:11" x14ac:dyDescent="0.35">
      <c r="C852" t="str">
        <f t="shared" ca="1" si="91"/>
        <v>2Q2023</v>
      </c>
      <c r="D852" vm="1692">
        <f ca="1"/>
        <v>45180</v>
      </c>
      <c r="E852" vm="1693">
        <f ca="1"/>
        <v>45.177999999999997</v>
      </c>
      <c r="F852" s="3">
        <f t="shared" ca="1" si="92"/>
        <v>0.25062778452814904</v>
      </c>
      <c r="G852" s="3">
        <f t="shared" ca="1" si="93"/>
        <v>1.1138112596192791</v>
      </c>
      <c r="H852" s="3">
        <f t="shared" ca="1" si="94"/>
        <v>0.54706358849736736</v>
      </c>
      <c r="I852" s="3">
        <f t="shared" ca="1" si="95"/>
        <v>45.064835972850673</v>
      </c>
      <c r="J852" s="3">
        <f t="shared" ca="1" si="96"/>
        <v>10.140407454545453</v>
      </c>
      <c r="K852" s="3">
        <f t="shared" ca="1" si="97"/>
        <v>20.645680387946989</v>
      </c>
    </row>
    <row r="853" spans="3:11" x14ac:dyDescent="0.35">
      <c r="C853" t="str">
        <f t="shared" ca="1" si="91"/>
        <v>2Q2023</v>
      </c>
      <c r="D853" vm="1694">
        <f ca="1"/>
        <v>45181</v>
      </c>
      <c r="E853" vm="1695">
        <f ca="1"/>
        <v>44.87</v>
      </c>
      <c r="F853" s="3">
        <f t="shared" ca="1" si="92"/>
        <v>0.25062778452814904</v>
      </c>
      <c r="G853" s="3">
        <f t="shared" ca="1" si="93"/>
        <v>1.1138112596192791</v>
      </c>
      <c r="H853" s="3">
        <f t="shared" ca="1" si="94"/>
        <v>0.54706358849736736</v>
      </c>
      <c r="I853" s="3">
        <f t="shared" ca="1" si="95"/>
        <v>44.757607466063348</v>
      </c>
      <c r="J853" s="3">
        <f t="shared" ca="1" si="96"/>
        <v>10.071275454545454</v>
      </c>
      <c r="K853" s="3">
        <f t="shared" ca="1" si="97"/>
        <v>20.504928925742206</v>
      </c>
    </row>
    <row r="854" spans="3:11" x14ac:dyDescent="0.35">
      <c r="C854" t="str">
        <f t="shared" ca="1" si="91"/>
        <v>2Q2023</v>
      </c>
      <c r="D854" vm="1696">
        <f ca="1"/>
        <v>45182</v>
      </c>
      <c r="E854" vm="1697">
        <f ca="1"/>
        <v>45.484999999999999</v>
      </c>
      <c r="F854" s="3">
        <f t="shared" ca="1" si="92"/>
        <v>0.25062778452814904</v>
      </c>
      <c r="G854" s="3">
        <f t="shared" ca="1" si="93"/>
        <v>1.1138112596192791</v>
      </c>
      <c r="H854" s="3">
        <f t="shared" ca="1" si="94"/>
        <v>0.54706358849736736</v>
      </c>
      <c r="I854" s="3">
        <f t="shared" ca="1" si="95"/>
        <v>45.371066984486099</v>
      </c>
      <c r="J854" s="3">
        <f t="shared" ca="1" si="96"/>
        <v>10.209315</v>
      </c>
      <c r="K854" s="3">
        <f t="shared" ca="1" si="97"/>
        <v>20.785974864884874</v>
      </c>
    </row>
    <row r="855" spans="3:11" x14ac:dyDescent="0.35">
      <c r="C855" t="str">
        <f t="shared" ca="1" si="91"/>
        <v>2Q2023</v>
      </c>
      <c r="D855" vm="1698">
        <f ca="1"/>
        <v>45183</v>
      </c>
      <c r="E855" vm="1699">
        <f ca="1"/>
        <v>45.581000000000003</v>
      </c>
      <c r="F855" s="3">
        <f t="shared" ca="1" si="92"/>
        <v>0.25062778452814904</v>
      </c>
      <c r="G855" s="3">
        <f t="shared" ca="1" si="93"/>
        <v>1.1138112596192791</v>
      </c>
      <c r="H855" s="3">
        <f t="shared" ca="1" si="94"/>
        <v>0.54706358849736736</v>
      </c>
      <c r="I855" s="3">
        <f t="shared" ca="1" si="95"/>
        <v>45.466826519069173</v>
      </c>
      <c r="J855" s="3">
        <f t="shared" ca="1" si="96"/>
        <v>10.230862636363637</v>
      </c>
      <c r="K855" s="3">
        <f t="shared" ca="1" si="97"/>
        <v>20.829845450507147</v>
      </c>
    </row>
    <row r="856" spans="3:11" x14ac:dyDescent="0.35">
      <c r="C856" t="str">
        <f t="shared" ca="1" si="91"/>
        <v>2Q2023</v>
      </c>
      <c r="D856" vm="1700">
        <f ca="1"/>
        <v>45184</v>
      </c>
      <c r="E856" vm="1701">
        <f ca="1"/>
        <v>43.9</v>
      </c>
      <c r="F856" s="3">
        <f t="shared" ca="1" si="92"/>
        <v>0.25062778452814904</v>
      </c>
      <c r="G856" s="3">
        <f t="shared" ca="1" si="93"/>
        <v>1.1138112596192791</v>
      </c>
      <c r="H856" s="3">
        <f t="shared" ca="1" si="94"/>
        <v>0.54706358849736736</v>
      </c>
      <c r="I856" s="3">
        <f t="shared" ca="1" si="95"/>
        <v>43.790037168713638</v>
      </c>
      <c r="J856" s="3">
        <f t="shared" ca="1" si="96"/>
        <v>9.8535545454545446</v>
      </c>
      <c r="K856" s="3">
        <f t="shared" ca="1" si="97"/>
        <v>20.061653216850519</v>
      </c>
    </row>
    <row r="857" spans="3:11" x14ac:dyDescent="0.35">
      <c r="C857" t="str">
        <f t="shared" ca="1" si="91"/>
        <v>2Q2023</v>
      </c>
      <c r="D857" vm="1702">
        <f ca="1"/>
        <v>45187</v>
      </c>
      <c r="E857" vm="1703">
        <f ca="1"/>
        <v>43.966000000000001</v>
      </c>
      <c r="F857" s="3">
        <f t="shared" ca="1" si="92"/>
        <v>0.25062778452814904</v>
      </c>
      <c r="G857" s="3">
        <f t="shared" ca="1" si="93"/>
        <v>1.1138112596192791</v>
      </c>
      <c r="H857" s="3">
        <f t="shared" ca="1" si="94"/>
        <v>0.54706358849736736</v>
      </c>
      <c r="I857" s="3">
        <f t="shared" ca="1" si="95"/>
        <v>43.855871848739497</v>
      </c>
      <c r="J857" s="3">
        <f t="shared" ca="1" si="96"/>
        <v>9.8683685454545458</v>
      </c>
      <c r="K857" s="3">
        <f t="shared" ca="1" si="97"/>
        <v>20.091814244465834</v>
      </c>
    </row>
    <row r="858" spans="3:11" x14ac:dyDescent="0.35">
      <c r="C858" t="str">
        <f t="shared" ca="1" si="91"/>
        <v>2Q2023</v>
      </c>
      <c r="D858" vm="1704">
        <f ca="1"/>
        <v>45188</v>
      </c>
      <c r="E858" vm="1705">
        <f ca="1"/>
        <v>43.52</v>
      </c>
      <c r="F858" s="3">
        <f t="shared" ca="1" si="92"/>
        <v>0.25062778452814904</v>
      </c>
      <c r="G858" s="3">
        <f t="shared" ca="1" si="93"/>
        <v>1.1138112596192791</v>
      </c>
      <c r="H858" s="3">
        <f t="shared" ca="1" si="94"/>
        <v>0.54706358849736736</v>
      </c>
      <c r="I858" s="3">
        <f t="shared" ca="1" si="95"/>
        <v>43.410989010989013</v>
      </c>
      <c r="J858" s="3">
        <f t="shared" ca="1" si="96"/>
        <v>9.7682618181818182</v>
      </c>
      <c r="K858" s="3">
        <f t="shared" ca="1" si="97"/>
        <v>19.887998815429039</v>
      </c>
    </row>
    <row r="859" spans="3:11" x14ac:dyDescent="0.35">
      <c r="C859" t="str">
        <f t="shared" ca="1" si="91"/>
        <v>2Q2023</v>
      </c>
      <c r="D859" vm="1706">
        <f ca="1"/>
        <v>45189</v>
      </c>
      <c r="E859" vm="1707">
        <f ca="1"/>
        <v>42.238999999999997</v>
      </c>
      <c r="F859" s="3">
        <f t="shared" ca="1" si="92"/>
        <v>0.25062778452814904</v>
      </c>
      <c r="G859" s="3">
        <f t="shared" ca="1" si="93"/>
        <v>1.1138112596192791</v>
      </c>
      <c r="H859" s="3">
        <f t="shared" ca="1" si="94"/>
        <v>0.54706358849736736</v>
      </c>
      <c r="I859" s="3">
        <f t="shared" ca="1" si="95"/>
        <v>42.13319772139625</v>
      </c>
      <c r="J859" s="3">
        <f t="shared" ca="1" si="96"/>
        <v>9.4807355454545448</v>
      </c>
      <c r="K859" s="3">
        <f t="shared" ca="1" si="97"/>
        <v>19.302600688531871</v>
      </c>
    </row>
    <row r="860" spans="3:11" x14ac:dyDescent="0.35">
      <c r="C860" t="str">
        <f t="shared" ca="1" si="91"/>
        <v>2Q2023</v>
      </c>
      <c r="D860" vm="1708">
        <f ca="1"/>
        <v>45190</v>
      </c>
      <c r="E860" vm="1709">
        <f ca="1"/>
        <v>41.017000000000003</v>
      </c>
      <c r="F860" s="3">
        <f t="shared" ca="1" si="92"/>
        <v>0.25062778452814904</v>
      </c>
      <c r="G860" s="3">
        <f t="shared" ca="1" si="93"/>
        <v>1.1138112596192791</v>
      </c>
      <c r="H860" s="3">
        <f t="shared" ca="1" si="94"/>
        <v>0.54706358849736736</v>
      </c>
      <c r="I860" s="3">
        <f t="shared" ca="1" si="95"/>
        <v>40.914258645766004</v>
      </c>
      <c r="J860" s="3">
        <f t="shared" ca="1" si="96"/>
        <v>9.2064520909090923</v>
      </c>
      <c r="K860" s="3">
        <f t="shared" ca="1" si="97"/>
        <v>18.74416469238173</v>
      </c>
    </row>
    <row r="861" spans="3:11" x14ac:dyDescent="0.35">
      <c r="C861" t="str">
        <f t="shared" ca="1" si="91"/>
        <v>2Q2023</v>
      </c>
      <c r="D861" vm="1710">
        <f ca="1"/>
        <v>45191</v>
      </c>
      <c r="E861" vm="1711">
        <f ca="1"/>
        <v>41.61</v>
      </c>
      <c r="F861" s="3">
        <f t="shared" ca="1" si="92"/>
        <v>0.25062778452814904</v>
      </c>
      <c r="G861" s="3">
        <f t="shared" ca="1" si="93"/>
        <v>1.1138112596192791</v>
      </c>
      <c r="H861" s="3">
        <f t="shared" ca="1" si="94"/>
        <v>0.54706358849736736</v>
      </c>
      <c r="I861" s="3">
        <f t="shared" ca="1" si="95"/>
        <v>41.505773270846802</v>
      </c>
      <c r="J861" s="3">
        <f t="shared" ca="1" si="96"/>
        <v>9.339553636363636</v>
      </c>
      <c r="K861" s="3">
        <f t="shared" ca="1" si="97"/>
        <v>19.015156955652625</v>
      </c>
    </row>
    <row r="862" spans="3:11" x14ac:dyDescent="0.35">
      <c r="C862" t="str">
        <f t="shared" ca="1" si="91"/>
        <v>2Q2023</v>
      </c>
      <c r="D862" vm="1712">
        <f ca="1"/>
        <v>45194</v>
      </c>
      <c r="E862" vm="1713">
        <f ca="1"/>
        <v>42.222000000000001</v>
      </c>
      <c r="F862" s="3">
        <f t="shared" ca="1" si="92"/>
        <v>0.25062778452814904</v>
      </c>
      <c r="G862" s="3">
        <f t="shared" ca="1" si="93"/>
        <v>1.1138112596192791</v>
      </c>
      <c r="H862" s="3">
        <f t="shared" ca="1" si="94"/>
        <v>0.54706358849736736</v>
      </c>
      <c r="I862" s="3">
        <f t="shared" ca="1" si="95"/>
        <v>42.116240303813832</v>
      </c>
      <c r="J862" s="3">
        <f t="shared" ca="1" si="96"/>
        <v>9.4769198181818179</v>
      </c>
      <c r="K862" s="3">
        <f t="shared" ca="1" si="97"/>
        <v>19.294831938994594</v>
      </c>
    </row>
    <row r="863" spans="3:11" x14ac:dyDescent="0.35">
      <c r="C863" t="str">
        <f t="shared" ca="1" si="91"/>
        <v>2Q2023</v>
      </c>
      <c r="D863" vm="1714">
        <f ca="1"/>
        <v>45195</v>
      </c>
      <c r="E863" vm="1715">
        <f ca="1"/>
        <v>41.911000000000001</v>
      </c>
      <c r="F863" s="3">
        <f t="shared" ca="1" si="92"/>
        <v>0.25062778452814904</v>
      </c>
      <c r="G863" s="3">
        <f t="shared" ca="1" si="93"/>
        <v>1.1138112596192791</v>
      </c>
      <c r="H863" s="3">
        <f t="shared" ca="1" si="94"/>
        <v>0.54706358849736736</v>
      </c>
      <c r="I863" s="3">
        <f t="shared" ca="1" si="95"/>
        <v>41.806019311570786</v>
      </c>
      <c r="J863" s="3">
        <f t="shared" ca="1" si="96"/>
        <v>9.4071144545454555</v>
      </c>
      <c r="K863" s="3">
        <f t="shared" ca="1" si="97"/>
        <v>19.152709520989116</v>
      </c>
    </row>
    <row r="864" spans="3:11" x14ac:dyDescent="0.35">
      <c r="C864" t="str">
        <f t="shared" ca="1" si="91"/>
        <v>2Q2023</v>
      </c>
      <c r="D864" vm="1716">
        <f ca="1"/>
        <v>45196</v>
      </c>
      <c r="E864" vm="1717">
        <f ca="1"/>
        <v>42.468000000000004</v>
      </c>
      <c r="F864" s="3">
        <f t="shared" ca="1" si="92"/>
        <v>0.25062778452814904</v>
      </c>
      <c r="G864" s="3">
        <f t="shared" ca="1" si="93"/>
        <v>1.1138112596192791</v>
      </c>
      <c r="H864" s="3">
        <f t="shared" ca="1" si="94"/>
        <v>0.54706358849736736</v>
      </c>
      <c r="I864" s="3">
        <f t="shared" ca="1" si="95"/>
        <v>42.361624111182941</v>
      </c>
      <c r="J864" s="3">
        <f t="shared" ca="1" si="96"/>
        <v>9.5321356363636376</v>
      </c>
      <c r="K864" s="3">
        <f t="shared" ca="1" si="97"/>
        <v>19.407250314651662</v>
      </c>
    </row>
    <row r="865" spans="3:11" x14ac:dyDescent="0.35">
      <c r="C865" t="str">
        <f t="shared" ca="1" si="91"/>
        <v>2Q2023</v>
      </c>
      <c r="D865" vm="1718">
        <f ca="1"/>
        <v>45197</v>
      </c>
      <c r="E865" vm="1719">
        <f ca="1"/>
        <v>43.088999999999999</v>
      </c>
      <c r="F865" s="3">
        <f t="shared" ca="1" si="92"/>
        <v>0.25062778452814904</v>
      </c>
      <c r="G865" s="3">
        <f t="shared" ca="1" si="93"/>
        <v>1.1138112596192791</v>
      </c>
      <c r="H865" s="3">
        <f t="shared" ca="1" si="94"/>
        <v>0.54706358849736736</v>
      </c>
      <c r="I865" s="3">
        <f t="shared" ca="1" si="95"/>
        <v>42.981068600517126</v>
      </c>
      <c r="J865" s="3">
        <f t="shared" ca="1" si="96"/>
        <v>9.6715219090909095</v>
      </c>
      <c r="K865" s="3">
        <f t="shared" ca="1" si="97"/>
        <v>19.691038165395721</v>
      </c>
    </row>
    <row r="866" spans="3:11" x14ac:dyDescent="0.35">
      <c r="C866" t="str">
        <f t="shared" ca="1" si="91"/>
        <v>2Q2023</v>
      </c>
      <c r="D866" vm="1720">
        <f ca="1"/>
        <v>45198</v>
      </c>
      <c r="E866" vm="1721">
        <f ca="1"/>
        <v>43.499000000000002</v>
      </c>
      <c r="F866" s="3">
        <f t="shared" ca="1" si="92"/>
        <v>0.25062778452814904</v>
      </c>
      <c r="G866" s="3">
        <f t="shared" ca="1" si="93"/>
        <v>1.1138112596192791</v>
      </c>
      <c r="H866" s="3">
        <f t="shared" ca="1" si="94"/>
        <v>0.54706358849736736</v>
      </c>
      <c r="I866" s="3">
        <f t="shared" ca="1" si="95"/>
        <v>43.390041612798967</v>
      </c>
      <c r="J866" s="3">
        <f t="shared" ca="1" si="96"/>
        <v>9.7635482727272738</v>
      </c>
      <c r="K866" s="3">
        <f t="shared" ca="1" si="97"/>
        <v>19.878402124824166</v>
      </c>
    </row>
    <row r="867" spans="3:11" x14ac:dyDescent="0.35">
      <c r="C867" t="str">
        <f t="shared" ca="1" si="91"/>
        <v>2Q2023</v>
      </c>
      <c r="D867" vm="1722">
        <f ca="1"/>
        <v>45201</v>
      </c>
      <c r="E867" vm="1723">
        <f ca="1"/>
        <v>44.781999999999996</v>
      </c>
      <c r="F867" s="3">
        <f t="shared" ca="1" si="92"/>
        <v>0.25062778452814904</v>
      </c>
      <c r="G867" s="3">
        <f t="shared" ca="1" si="93"/>
        <v>1.1138112596192791</v>
      </c>
      <c r="H867" s="3">
        <f t="shared" ca="1" si="94"/>
        <v>0.54706358849736736</v>
      </c>
      <c r="I867" s="3">
        <f t="shared" ca="1" si="95"/>
        <v>44.669827892695537</v>
      </c>
      <c r="J867" s="3">
        <f t="shared" ca="1" si="96"/>
        <v>10.051523454545453</v>
      </c>
      <c r="K867" s="3">
        <f t="shared" ca="1" si="97"/>
        <v>20.464714222255125</v>
      </c>
    </row>
    <row r="868" spans="3:11" x14ac:dyDescent="0.35">
      <c r="C868" t="str">
        <f t="shared" ca="1" si="91"/>
        <v>2Q2023</v>
      </c>
      <c r="D868" vm="1724">
        <f ca="1"/>
        <v>45202</v>
      </c>
      <c r="E868" vm="1725">
        <f ca="1"/>
        <v>43.517000000000003</v>
      </c>
      <c r="F868" s="3">
        <f t="shared" ca="1" si="92"/>
        <v>0.25062778452814904</v>
      </c>
      <c r="G868" s="3">
        <f t="shared" ca="1" si="93"/>
        <v>1.1138112596192791</v>
      </c>
      <c r="H868" s="3">
        <f t="shared" ca="1" si="94"/>
        <v>0.54706358849736736</v>
      </c>
      <c r="I868" s="3">
        <f t="shared" ca="1" si="95"/>
        <v>43.407996525533292</v>
      </c>
      <c r="J868" s="3">
        <f t="shared" ca="1" si="96"/>
        <v>9.7675884545454554</v>
      </c>
      <c r="K868" s="3">
        <f t="shared" ca="1" si="97"/>
        <v>19.886627859628341</v>
      </c>
    </row>
    <row r="869" spans="3:11" x14ac:dyDescent="0.35">
      <c r="C869" t="str">
        <f t="shared" ca="1" si="91"/>
        <v>2Q2023</v>
      </c>
      <c r="D869" vm="1726">
        <f ca="1"/>
        <v>45203</v>
      </c>
      <c r="E869" vm="1727">
        <f ca="1"/>
        <v>44.040999999999997</v>
      </c>
      <c r="F869" s="3">
        <f t="shared" ca="1" si="92"/>
        <v>0.25062778452814904</v>
      </c>
      <c r="G869" s="3">
        <f t="shared" ca="1" si="93"/>
        <v>1.1138112596192791</v>
      </c>
      <c r="H869" s="3">
        <f t="shared" ca="1" si="94"/>
        <v>0.54706358849736736</v>
      </c>
      <c r="I869" s="3">
        <f t="shared" ca="1" si="95"/>
        <v>43.930683985132511</v>
      </c>
      <c r="J869" s="3">
        <f t="shared" ca="1" si="96"/>
        <v>9.8852026363636352</v>
      </c>
      <c r="K869" s="3">
        <f t="shared" ca="1" si="97"/>
        <v>20.12608813948323</v>
      </c>
    </row>
    <row r="870" spans="3:11" x14ac:dyDescent="0.35">
      <c r="C870" t="str">
        <f t="shared" ca="1" si="91"/>
        <v>2Q2023</v>
      </c>
      <c r="D870" vm="1728">
        <f ca="1"/>
        <v>45204</v>
      </c>
      <c r="E870" vm="1729">
        <f ca="1"/>
        <v>44.688000000000002</v>
      </c>
      <c r="F870" s="3">
        <f t="shared" ca="1" si="92"/>
        <v>0.25062778452814904</v>
      </c>
      <c r="G870" s="3">
        <f t="shared" ca="1" si="93"/>
        <v>1.1138112596192791</v>
      </c>
      <c r="H870" s="3">
        <f t="shared" ca="1" si="94"/>
        <v>0.54706358849736736</v>
      </c>
      <c r="I870" s="3">
        <f t="shared" ca="1" si="95"/>
        <v>44.576063348416291</v>
      </c>
      <c r="J870" s="3">
        <f t="shared" ca="1" si="96"/>
        <v>10.030424727272727</v>
      </c>
      <c r="K870" s="3">
        <f t="shared" ca="1" si="97"/>
        <v>20.421757607166654</v>
      </c>
    </row>
    <row r="871" spans="3:11" x14ac:dyDescent="0.35">
      <c r="C871" t="str">
        <f t="shared" ca="1" si="91"/>
        <v>2Q2023</v>
      </c>
      <c r="D871" vm="1730">
        <f ca="1"/>
        <v>45205</v>
      </c>
      <c r="E871" vm="1731">
        <f ca="1"/>
        <v>45.762</v>
      </c>
      <c r="F871" s="3">
        <f t="shared" ca="1" si="92"/>
        <v>0.25062778452814904</v>
      </c>
      <c r="G871" s="3">
        <f t="shared" ca="1" si="93"/>
        <v>1.1138112596192791</v>
      </c>
      <c r="H871" s="3">
        <f t="shared" ca="1" si="94"/>
        <v>0.54706358849736736</v>
      </c>
      <c r="I871" s="3">
        <f t="shared" ca="1" si="95"/>
        <v>45.647373141564316</v>
      </c>
      <c r="J871" s="3">
        <f t="shared" ca="1" si="96"/>
        <v>10.271488909090909</v>
      </c>
      <c r="K871" s="3">
        <f t="shared" ca="1" si="97"/>
        <v>20.912559783815798</v>
      </c>
    </row>
    <row r="872" spans="3:11" x14ac:dyDescent="0.35">
      <c r="C872" t="str">
        <f t="shared" ca="1" si="91"/>
        <v>2Q2023</v>
      </c>
      <c r="D872" vm="1732">
        <f ca="1"/>
        <v>45208</v>
      </c>
      <c r="E872" vm="1733">
        <f ca="1"/>
        <v>45.273000000000003</v>
      </c>
      <c r="F872" s="3">
        <f t="shared" ca="1" si="92"/>
        <v>0.25062778452814904</v>
      </c>
      <c r="G872" s="3">
        <f t="shared" ca="1" si="93"/>
        <v>1.1138112596192791</v>
      </c>
      <c r="H872" s="3">
        <f t="shared" ca="1" si="94"/>
        <v>0.54706358849736736</v>
      </c>
      <c r="I872" s="3">
        <f t="shared" ca="1" si="95"/>
        <v>45.15959801228184</v>
      </c>
      <c r="J872" s="3">
        <f t="shared" ca="1" si="96"/>
        <v>10.161730636363638</v>
      </c>
      <c r="K872" s="3">
        <f t="shared" ca="1" si="97"/>
        <v>20.689093988302364</v>
      </c>
    </row>
    <row r="873" spans="3:11" x14ac:dyDescent="0.35">
      <c r="C873" t="str">
        <f t="shared" ca="1" si="91"/>
        <v>2Q2023</v>
      </c>
      <c r="D873" vm="1734">
        <f ca="1"/>
        <v>45209</v>
      </c>
      <c r="E873" vm="1735">
        <f ca="1"/>
        <v>45.798000000000002</v>
      </c>
      <c r="F873" s="3">
        <f t="shared" ca="1" si="92"/>
        <v>0.25062778452814904</v>
      </c>
      <c r="G873" s="3">
        <f t="shared" ca="1" si="93"/>
        <v>1.1138112596192791</v>
      </c>
      <c r="H873" s="3">
        <f t="shared" ca="1" si="94"/>
        <v>0.54706358849736736</v>
      </c>
      <c r="I873" s="3">
        <f t="shared" ca="1" si="95"/>
        <v>45.683282967032973</v>
      </c>
      <c r="J873" s="3">
        <f t="shared" ca="1" si="96"/>
        <v>10.279569272727272</v>
      </c>
      <c r="K873" s="3">
        <f t="shared" ca="1" si="97"/>
        <v>20.92901125342415</v>
      </c>
    </row>
    <row r="874" spans="3:11" x14ac:dyDescent="0.35">
      <c r="C874" t="str">
        <f t="shared" ca="1" si="91"/>
        <v>2Q2023</v>
      </c>
      <c r="D874" vm="1736">
        <f ca="1"/>
        <v>45210</v>
      </c>
      <c r="E874" vm="1737">
        <f ca="1"/>
        <v>46.805999999999997</v>
      </c>
      <c r="F874" s="3">
        <f t="shared" ca="1" si="92"/>
        <v>0.25062778452814904</v>
      </c>
      <c r="G874" s="3">
        <f t="shared" ca="1" si="93"/>
        <v>1.1138112596192791</v>
      </c>
      <c r="H874" s="3">
        <f t="shared" ca="1" si="94"/>
        <v>0.54706358849736736</v>
      </c>
      <c r="I874" s="3">
        <f t="shared" ca="1" si="95"/>
        <v>46.688758080155139</v>
      </c>
      <c r="J874" s="3">
        <f t="shared" ca="1" si="96"/>
        <v>10.505819454545454</v>
      </c>
      <c r="K874" s="3">
        <f t="shared" ca="1" si="97"/>
        <v>21.389652402457983</v>
      </c>
    </row>
    <row r="875" spans="3:11" x14ac:dyDescent="0.35">
      <c r="C875" t="str">
        <f t="shared" ca="1" si="91"/>
        <v>2Q2023</v>
      </c>
      <c r="D875" vm="1738">
        <f ca="1"/>
        <v>45211</v>
      </c>
      <c r="E875" vm="1739">
        <f ca="1"/>
        <v>46.945</v>
      </c>
      <c r="F875" s="3">
        <f t="shared" ca="1" si="92"/>
        <v>0.25062778452814904</v>
      </c>
      <c r="G875" s="3">
        <f t="shared" ca="1" si="93"/>
        <v>1.1138112596192791</v>
      </c>
      <c r="H875" s="3">
        <f t="shared" ca="1" si="94"/>
        <v>0.54706358849736736</v>
      </c>
      <c r="I875" s="3">
        <f t="shared" ca="1" si="95"/>
        <v>46.827409906270198</v>
      </c>
      <c r="J875" s="3">
        <f t="shared" ca="1" si="96"/>
        <v>10.537018636363637</v>
      </c>
      <c r="K875" s="3">
        <f t="shared" ca="1" si="97"/>
        <v>21.453173354556895</v>
      </c>
    </row>
    <row r="876" spans="3:11" x14ac:dyDescent="0.35">
      <c r="C876" t="str">
        <f t="shared" ca="1" si="91"/>
        <v>2Q2023</v>
      </c>
      <c r="D876" vm="1740">
        <f ca="1"/>
        <v>45212</v>
      </c>
      <c r="E876" vm="1741">
        <f ca="1"/>
        <v>45.460999999999999</v>
      </c>
      <c r="F876" s="3">
        <f t="shared" ca="1" si="92"/>
        <v>0.25062778452814904</v>
      </c>
      <c r="G876" s="3">
        <f t="shared" ca="1" si="93"/>
        <v>1.1138112596192791</v>
      </c>
      <c r="H876" s="3">
        <f t="shared" ca="1" si="94"/>
        <v>0.54706358849736736</v>
      </c>
      <c r="I876" s="3">
        <f t="shared" ca="1" si="95"/>
        <v>45.347127100840332</v>
      </c>
      <c r="J876" s="3">
        <f t="shared" ca="1" si="96"/>
        <v>10.203928090909091</v>
      </c>
      <c r="K876" s="3">
        <f t="shared" ca="1" si="97"/>
        <v>20.775007218479306</v>
      </c>
    </row>
    <row r="877" spans="3:11" x14ac:dyDescent="0.35">
      <c r="C877" t="str">
        <f t="shared" ca="1" si="91"/>
        <v>2Q2023</v>
      </c>
      <c r="D877" vm="1742">
        <f ca="1"/>
        <v>45215</v>
      </c>
      <c r="E877" vm="1743">
        <f ca="1"/>
        <v>46.094999999999999</v>
      </c>
      <c r="F877" s="3">
        <f t="shared" ca="1" si="92"/>
        <v>0.25062778452814904</v>
      </c>
      <c r="G877" s="3">
        <f t="shared" ca="1" si="93"/>
        <v>1.1138112596192791</v>
      </c>
      <c r="H877" s="3">
        <f t="shared" ca="1" si="94"/>
        <v>0.54706358849736736</v>
      </c>
      <c r="I877" s="3">
        <f t="shared" ca="1" si="95"/>
        <v>45.979539027149322</v>
      </c>
      <c r="J877" s="3">
        <f t="shared" ca="1" si="96"/>
        <v>10.346232272727272</v>
      </c>
      <c r="K877" s="3">
        <f t="shared" ca="1" si="97"/>
        <v>21.064735877693046</v>
      </c>
    </row>
    <row r="878" spans="3:11" x14ac:dyDescent="0.35">
      <c r="C878" t="str">
        <f t="shared" ca="1" si="91"/>
        <v>2Q2023</v>
      </c>
      <c r="D878" vm="1744">
        <f ca="1"/>
        <v>45216</v>
      </c>
      <c r="E878" vm="1745">
        <f ca="1"/>
        <v>43.938000000000002</v>
      </c>
      <c r="F878" s="3">
        <f t="shared" ca="1" si="92"/>
        <v>0.25062778452814904</v>
      </c>
      <c r="G878" s="3">
        <f t="shared" ca="1" si="93"/>
        <v>1.1138112596192791</v>
      </c>
      <c r="H878" s="3">
        <f t="shared" ca="1" si="94"/>
        <v>0.54706358849736736</v>
      </c>
      <c r="I878" s="3">
        <f t="shared" ca="1" si="95"/>
        <v>43.827941984486102</v>
      </c>
      <c r="J878" s="3">
        <f t="shared" ca="1" si="96"/>
        <v>9.8620838181818193</v>
      </c>
      <c r="K878" s="3">
        <f t="shared" ca="1" si="97"/>
        <v>20.079018656992673</v>
      </c>
    </row>
    <row r="879" spans="3:11" x14ac:dyDescent="0.35">
      <c r="C879" t="str">
        <f t="shared" ca="1" si="91"/>
        <v>2Q2023</v>
      </c>
      <c r="D879" vm="1746">
        <f ca="1"/>
        <v>45217</v>
      </c>
      <c r="E879" vm="1747">
        <f ca="1"/>
        <v>42.195999999999998</v>
      </c>
      <c r="F879" s="3">
        <f t="shared" ca="1" si="92"/>
        <v>0.25062778452814904</v>
      </c>
      <c r="G879" s="3">
        <f t="shared" ca="1" si="93"/>
        <v>1.1138112596192791</v>
      </c>
      <c r="H879" s="3">
        <f t="shared" ca="1" si="94"/>
        <v>0.54706358849736736</v>
      </c>
      <c r="I879" s="3">
        <f t="shared" ca="1" si="95"/>
        <v>42.090305429864252</v>
      </c>
      <c r="J879" s="3">
        <f t="shared" ca="1" si="96"/>
        <v>9.4710839999999994</v>
      </c>
      <c r="K879" s="3">
        <f t="shared" ca="1" si="97"/>
        <v>19.282950322055228</v>
      </c>
    </row>
    <row r="880" spans="3:11" x14ac:dyDescent="0.35">
      <c r="C880" t="str">
        <f t="shared" ca="1" si="91"/>
        <v>2Q2023</v>
      </c>
      <c r="D880" vm="1748">
        <f ca="1"/>
        <v>45218</v>
      </c>
      <c r="E880" vm="1749">
        <f ca="1"/>
        <v>42.100999999999999</v>
      </c>
      <c r="F880" s="3">
        <f t="shared" ca="1" si="92"/>
        <v>0.25062778452814904</v>
      </c>
      <c r="G880" s="3">
        <f t="shared" ca="1" si="93"/>
        <v>1.1138112596192791</v>
      </c>
      <c r="H880" s="3">
        <f t="shared" ca="1" si="94"/>
        <v>0.54706358849736736</v>
      </c>
      <c r="I880" s="3">
        <f t="shared" ca="1" si="95"/>
        <v>41.995543390433099</v>
      </c>
      <c r="J880" s="3">
        <f t="shared" ca="1" si="96"/>
        <v>9.4497608181818187</v>
      </c>
      <c r="K880" s="3">
        <f t="shared" ca="1" si="97"/>
        <v>19.23953672169986</v>
      </c>
    </row>
    <row r="881" spans="3:11" x14ac:dyDescent="0.35">
      <c r="C881" t="str">
        <f t="shared" ca="1" si="91"/>
        <v>2Q2023</v>
      </c>
      <c r="D881" vm="1750">
        <f ca="1"/>
        <v>45219</v>
      </c>
      <c r="E881" vm="1751">
        <f ca="1"/>
        <v>41.387</v>
      </c>
      <c r="F881" s="3">
        <f t="shared" ca="1" si="92"/>
        <v>0.25062778452814904</v>
      </c>
      <c r="G881" s="3">
        <f t="shared" ca="1" si="93"/>
        <v>1.1138112596192791</v>
      </c>
      <c r="H881" s="3">
        <f t="shared" ca="1" si="94"/>
        <v>0.54706358849736736</v>
      </c>
      <c r="I881" s="3">
        <f t="shared" ca="1" si="95"/>
        <v>41.28333185197156</v>
      </c>
      <c r="J881" s="3">
        <f t="shared" ca="1" si="96"/>
        <v>9.2895002727272722</v>
      </c>
      <c r="K881" s="3">
        <f t="shared" ca="1" si="97"/>
        <v>18.913249241134228</v>
      </c>
    </row>
    <row r="882" spans="3:11" x14ac:dyDescent="0.35">
      <c r="C882" t="str">
        <f t="shared" ca="1" si="91"/>
        <v>2Q2023</v>
      </c>
      <c r="D882" vm="1752">
        <f ca="1"/>
        <v>45222</v>
      </c>
      <c r="E882" vm="1753">
        <f ca="1"/>
        <v>42.975000000000001</v>
      </c>
      <c r="F882" s="3">
        <f t="shared" ca="1" si="92"/>
        <v>0.25062778452814904</v>
      </c>
      <c r="G882" s="3">
        <f t="shared" ca="1" si="93"/>
        <v>1.1138112596192791</v>
      </c>
      <c r="H882" s="3">
        <f t="shared" ca="1" si="94"/>
        <v>0.54706358849736736</v>
      </c>
      <c r="I882" s="3">
        <f t="shared" ca="1" si="95"/>
        <v>42.867354153199742</v>
      </c>
      <c r="J882" s="3">
        <f t="shared" ca="1" si="96"/>
        <v>9.6459340909090905</v>
      </c>
      <c r="K882" s="3">
        <f t="shared" ca="1" si="97"/>
        <v>19.638941844969274</v>
      </c>
    </row>
    <row r="883" spans="3:11" x14ac:dyDescent="0.35">
      <c r="C883" t="str">
        <f t="shared" ca="1" si="91"/>
        <v>2Q2023</v>
      </c>
      <c r="D883" vm="1754">
        <f ca="1"/>
        <v>45223</v>
      </c>
      <c r="E883" vm="1755">
        <f ca="1"/>
        <v>43.662999999999997</v>
      </c>
      <c r="F883" s="3">
        <f t="shared" ca="1" si="92"/>
        <v>0.25062778452814904</v>
      </c>
      <c r="G883" s="3">
        <f t="shared" ca="1" si="93"/>
        <v>1.1138112596192791</v>
      </c>
      <c r="H883" s="3">
        <f t="shared" ca="1" si="94"/>
        <v>0.54706358849736736</v>
      </c>
      <c r="I883" s="3">
        <f t="shared" ca="1" si="95"/>
        <v>43.553630817711699</v>
      </c>
      <c r="J883" s="3">
        <f t="shared" ca="1" si="96"/>
        <v>9.8003588181818166</v>
      </c>
      <c r="K883" s="3">
        <f t="shared" ca="1" si="97"/>
        <v>19.95334770859554</v>
      </c>
    </row>
    <row r="884" spans="3:11" x14ac:dyDescent="0.35">
      <c r="C884" t="str">
        <f t="shared" ca="1" si="91"/>
        <v>2Q2023</v>
      </c>
      <c r="D884" vm="1756">
        <f ca="1"/>
        <v>45224</v>
      </c>
      <c r="E884" vm="1757">
        <f ca="1"/>
        <v>41.779000000000003</v>
      </c>
      <c r="F884" s="3">
        <f t="shared" ca="1" si="92"/>
        <v>0.25062778452814904</v>
      </c>
      <c r="G884" s="3">
        <f t="shared" ca="1" si="93"/>
        <v>1.1138112596192791</v>
      </c>
      <c r="H884" s="3">
        <f t="shared" ca="1" si="94"/>
        <v>0.54706358849736736</v>
      </c>
      <c r="I884" s="3">
        <f t="shared" ca="1" si="95"/>
        <v>41.674349951519076</v>
      </c>
      <c r="J884" s="3">
        <f t="shared" ca="1" si="96"/>
        <v>9.3774864545454548</v>
      </c>
      <c r="K884" s="3">
        <f t="shared" ca="1" si="97"/>
        <v>19.092387465758495</v>
      </c>
    </row>
    <row r="885" spans="3:11" x14ac:dyDescent="0.35">
      <c r="C885" t="str">
        <f t="shared" ca="1" si="91"/>
        <v>2Q2023</v>
      </c>
      <c r="D885" vm="1758">
        <f ca="1"/>
        <v>45225</v>
      </c>
      <c r="E885" vm="1759">
        <f ca="1"/>
        <v>40.326000000000001</v>
      </c>
      <c r="F885" s="3">
        <f t="shared" ca="1" si="92"/>
        <v>0.25062778452814904</v>
      </c>
      <c r="G885" s="3">
        <f t="shared" ca="1" si="93"/>
        <v>1.1138112596192791</v>
      </c>
      <c r="H885" s="3">
        <f t="shared" ca="1" si="94"/>
        <v>0.54706358849736736</v>
      </c>
      <c r="I885" s="3">
        <f t="shared" ca="1" si="95"/>
        <v>40.224989495798319</v>
      </c>
      <c r="J885" s="3">
        <f t="shared" ca="1" si="96"/>
        <v>9.0513539999999999</v>
      </c>
      <c r="K885" s="3">
        <f t="shared" ca="1" si="97"/>
        <v>18.428387872954765</v>
      </c>
    </row>
    <row r="886" spans="3:11" x14ac:dyDescent="0.35">
      <c r="C886" t="str">
        <f t="shared" ca="1" si="91"/>
        <v>2Q2023</v>
      </c>
      <c r="D886" vm="1760">
        <f ca="1"/>
        <v>45226</v>
      </c>
      <c r="E886" vm="1761">
        <f ca="1"/>
        <v>40.5</v>
      </c>
      <c r="F886" s="3">
        <f t="shared" ca="1" si="92"/>
        <v>0.25062778452814904</v>
      </c>
      <c r="G886" s="3">
        <f t="shared" ca="1" si="93"/>
        <v>1.1138112596192791</v>
      </c>
      <c r="H886" s="3">
        <f t="shared" ca="1" si="94"/>
        <v>0.54706358849736736</v>
      </c>
      <c r="I886" s="3">
        <f t="shared" ca="1" si="95"/>
        <v>40.39855365223012</v>
      </c>
      <c r="J886" s="3">
        <f t="shared" ca="1" si="96"/>
        <v>9.0904090909090911</v>
      </c>
      <c r="K886" s="3">
        <f t="shared" ca="1" si="97"/>
        <v>18.507903309395129</v>
      </c>
    </row>
    <row r="887" spans="3:11" x14ac:dyDescent="0.35">
      <c r="C887" t="str">
        <f t="shared" ca="1" si="91"/>
        <v>3Q2023</v>
      </c>
      <c r="D887" vm="1762">
        <f ca="1"/>
        <v>45229</v>
      </c>
      <c r="E887" vm="1763">
        <f ca="1"/>
        <v>41.161000000000001</v>
      </c>
      <c r="F887" s="3">
        <f t="shared" ca="1" si="92"/>
        <v>0.37481751824817516</v>
      </c>
      <c r="G887" s="3">
        <f t="shared" ca="1" si="93"/>
        <v>1.348742903487429</v>
      </c>
      <c r="H887" s="3">
        <f t="shared" ca="1" si="94"/>
        <v>0.73479318734793186</v>
      </c>
      <c r="I887" s="3">
        <f t="shared" ca="1" si="95"/>
        <v>27.454026290165533</v>
      </c>
      <c r="J887" s="3">
        <f t="shared" ca="1" si="96"/>
        <v>7.6295118761274807</v>
      </c>
      <c r="K887" s="3">
        <f t="shared" ca="1" si="97"/>
        <v>14.004280629139073</v>
      </c>
    </row>
    <row r="888" spans="3:11" x14ac:dyDescent="0.35">
      <c r="C888" t="str">
        <f t="shared" ca="1" si="91"/>
        <v>3Q2023</v>
      </c>
      <c r="D888" vm="1764">
        <f ca="1"/>
        <v>45230</v>
      </c>
      <c r="E888" vm="1765">
        <f ca="1"/>
        <v>40.78</v>
      </c>
      <c r="F888" s="3">
        <f t="shared" ca="1" si="92"/>
        <v>0.37481751824817516</v>
      </c>
      <c r="G888" s="3">
        <f t="shared" ca="1" si="93"/>
        <v>1.348742903487429</v>
      </c>
      <c r="H888" s="3">
        <f t="shared" ca="1" si="94"/>
        <v>0.73479318734793186</v>
      </c>
      <c r="I888" s="3">
        <f t="shared" ca="1" si="95"/>
        <v>27.199902629016556</v>
      </c>
      <c r="J888" s="3">
        <f t="shared" ca="1" si="96"/>
        <v>7.5588905592303073</v>
      </c>
      <c r="K888" s="3">
        <f t="shared" ca="1" si="97"/>
        <v>13.874652317880795</v>
      </c>
    </row>
    <row r="889" spans="3:11" x14ac:dyDescent="0.35">
      <c r="C889" t="str">
        <f t="shared" ca="1" si="91"/>
        <v>3Q2023</v>
      </c>
      <c r="D889" vm="1766">
        <f ca="1"/>
        <v>45231</v>
      </c>
      <c r="E889" vm="1767">
        <f ca="1"/>
        <v>42.325000000000003</v>
      </c>
      <c r="F889" s="3">
        <f t="shared" ca="1" si="92"/>
        <v>0.37481751824817516</v>
      </c>
      <c r="G889" s="3">
        <f t="shared" ca="1" si="93"/>
        <v>1.348742903487429</v>
      </c>
      <c r="H889" s="3">
        <f t="shared" ca="1" si="94"/>
        <v>0.73479318734793186</v>
      </c>
      <c r="I889" s="3">
        <f t="shared" ca="1" si="95"/>
        <v>28.23040408958131</v>
      </c>
      <c r="J889" s="3">
        <f t="shared" ca="1" si="96"/>
        <v>7.8452683403487677</v>
      </c>
      <c r="K889" s="3">
        <f t="shared" ca="1" si="97"/>
        <v>14.400310430463577</v>
      </c>
    </row>
    <row r="890" spans="3:11" x14ac:dyDescent="0.35">
      <c r="C890" t="str">
        <f t="shared" ca="1" si="91"/>
        <v>3Q2023</v>
      </c>
      <c r="D890" vm="1768">
        <f ca="1"/>
        <v>45232</v>
      </c>
      <c r="E890" vm="1769">
        <f ca="1"/>
        <v>43.506</v>
      </c>
      <c r="F890" s="3">
        <f t="shared" ca="1" si="92"/>
        <v>0.37481751824817516</v>
      </c>
      <c r="G890" s="3">
        <f t="shared" ca="1" si="93"/>
        <v>1.348742903487429</v>
      </c>
      <c r="H890" s="3">
        <f t="shared" ca="1" si="94"/>
        <v>0.73479318734793186</v>
      </c>
      <c r="I890" s="3">
        <f t="shared" ca="1" si="95"/>
        <v>29.018120740019477</v>
      </c>
      <c r="J890" s="3">
        <f t="shared" ca="1" si="96"/>
        <v>8.0641758869512934</v>
      </c>
      <c r="K890" s="3">
        <f t="shared" ca="1" si="97"/>
        <v>14.802124172185431</v>
      </c>
    </row>
    <row r="891" spans="3:11" x14ac:dyDescent="0.35">
      <c r="C891" t="str">
        <f t="shared" ca="1" si="91"/>
        <v>3Q2023</v>
      </c>
      <c r="D891" vm="1770">
        <f ca="1"/>
        <v>45233</v>
      </c>
      <c r="E891" vm="1771">
        <f ca="1"/>
        <v>45.005000000000003</v>
      </c>
      <c r="F891" s="3">
        <f t="shared" ca="1" si="92"/>
        <v>0.37481751824817516</v>
      </c>
      <c r="G891" s="3">
        <f t="shared" ca="1" si="93"/>
        <v>1.348742903487429</v>
      </c>
      <c r="H891" s="3">
        <f t="shared" ca="1" si="94"/>
        <v>0.73479318734793186</v>
      </c>
      <c r="I891" s="3">
        <f t="shared" ca="1" si="95"/>
        <v>30.017940603700101</v>
      </c>
      <c r="J891" s="3">
        <f t="shared" ca="1" si="96"/>
        <v>8.3420272098616959</v>
      </c>
      <c r="K891" s="3">
        <f t="shared" ca="1" si="97"/>
        <v>15.312131622516558</v>
      </c>
    </row>
    <row r="892" spans="3:11" x14ac:dyDescent="0.35">
      <c r="C892" t="str">
        <f t="shared" ca="1" si="91"/>
        <v>3Q2023</v>
      </c>
      <c r="D892" vm="1772">
        <f ca="1"/>
        <v>45236</v>
      </c>
      <c r="E892" vm="1773">
        <f ca="1"/>
        <v>45.750999999999998</v>
      </c>
      <c r="F892" s="3">
        <f t="shared" ca="1" si="92"/>
        <v>0.37481751824817516</v>
      </c>
      <c r="G892" s="3">
        <f t="shared" ca="1" si="93"/>
        <v>1.348742903487429</v>
      </c>
      <c r="H892" s="3">
        <f t="shared" ca="1" si="94"/>
        <v>0.73479318734793186</v>
      </c>
      <c r="I892" s="3">
        <f t="shared" ca="1" si="95"/>
        <v>30.515516066212268</v>
      </c>
      <c r="J892" s="3">
        <f t="shared" ca="1" si="96"/>
        <v>8.4803041190619357</v>
      </c>
      <c r="K892" s="3">
        <f t="shared" ca="1" si="97"/>
        <v>15.56594453642384</v>
      </c>
    </row>
    <row r="893" spans="3:11" x14ac:dyDescent="0.35">
      <c r="C893" t="str">
        <f t="shared" ca="1" si="91"/>
        <v>3Q2023</v>
      </c>
      <c r="D893" vm="1774">
        <f ca="1"/>
        <v>45237</v>
      </c>
      <c r="E893" vm="1775">
        <f ca="1"/>
        <v>45.954999999999998</v>
      </c>
      <c r="F893" s="3">
        <f t="shared" ca="1" si="92"/>
        <v>0.37481751824817516</v>
      </c>
      <c r="G893" s="3">
        <f t="shared" ca="1" si="93"/>
        <v>1.348742903487429</v>
      </c>
      <c r="H893" s="3">
        <f t="shared" ca="1" si="94"/>
        <v>0.73479318734793186</v>
      </c>
      <c r="I893" s="3">
        <f t="shared" ca="1" si="95"/>
        <v>30.651582278481012</v>
      </c>
      <c r="J893" s="3">
        <f t="shared" ca="1" si="96"/>
        <v>8.518117107636801</v>
      </c>
      <c r="K893" s="3">
        <f t="shared" ca="1" si="97"/>
        <v>15.635351821192053</v>
      </c>
    </row>
    <row r="894" spans="3:11" x14ac:dyDescent="0.35">
      <c r="C894" t="str">
        <f t="shared" ca="1" si="91"/>
        <v>3Q2023</v>
      </c>
      <c r="D894" vm="1776">
        <f ca="1"/>
        <v>45238</v>
      </c>
      <c r="E894" vm="1777">
        <f ca="1"/>
        <v>46.573999999999998</v>
      </c>
      <c r="F894" s="3">
        <f t="shared" ca="1" si="92"/>
        <v>0.37481751824817516</v>
      </c>
      <c r="G894" s="3">
        <f t="shared" ca="1" si="93"/>
        <v>1.348742903487429</v>
      </c>
      <c r="H894" s="3">
        <f t="shared" ca="1" si="94"/>
        <v>0.73479318734793186</v>
      </c>
      <c r="I894" s="3">
        <f t="shared" ca="1" si="95"/>
        <v>31.064449853943525</v>
      </c>
      <c r="J894" s="3">
        <f t="shared" ca="1" si="96"/>
        <v>8.632853577871316</v>
      </c>
      <c r="K894" s="3">
        <f t="shared" ca="1" si="97"/>
        <v>15.845955298013244</v>
      </c>
    </row>
    <row r="895" spans="3:11" x14ac:dyDescent="0.35">
      <c r="C895" t="str">
        <f t="shared" ca="1" si="91"/>
        <v>3Q2023</v>
      </c>
      <c r="D895" vm="1778">
        <f ca="1"/>
        <v>45239</v>
      </c>
      <c r="E895" vm="1779">
        <f ca="1"/>
        <v>46.95</v>
      </c>
      <c r="F895" s="3">
        <f t="shared" ca="1" si="92"/>
        <v>0.37481751824817516</v>
      </c>
      <c r="G895" s="3">
        <f t="shared" ca="1" si="93"/>
        <v>1.348742903487429</v>
      </c>
      <c r="H895" s="3">
        <f t="shared" ca="1" si="94"/>
        <v>0.73479318734793186</v>
      </c>
      <c r="I895" s="3">
        <f t="shared" ca="1" si="95"/>
        <v>31.315238558909449</v>
      </c>
      <c r="J895" s="3">
        <f t="shared" ca="1" si="96"/>
        <v>8.7025481058328324</v>
      </c>
      <c r="K895" s="3">
        <f t="shared" ca="1" si="97"/>
        <v>15.973882450331127</v>
      </c>
    </row>
    <row r="896" spans="3:11" x14ac:dyDescent="0.35">
      <c r="C896" t="str">
        <f t="shared" ca="1" si="91"/>
        <v>3Q2023</v>
      </c>
      <c r="D896" vm="1780">
        <f ca="1"/>
        <v>45240</v>
      </c>
      <c r="E896" vm="1781">
        <f ca="1"/>
        <v>48.335000000000001</v>
      </c>
      <c r="F896" s="3">
        <f t="shared" ca="1" si="92"/>
        <v>0.37481751824817516</v>
      </c>
      <c r="G896" s="3">
        <f t="shared" ca="1" si="93"/>
        <v>1.348742903487429</v>
      </c>
      <c r="H896" s="3">
        <f t="shared" ca="1" si="94"/>
        <v>0.73479318734793186</v>
      </c>
      <c r="I896" s="3">
        <f t="shared" ca="1" si="95"/>
        <v>32.239021421616357</v>
      </c>
      <c r="J896" s="3">
        <f t="shared" ca="1" si="96"/>
        <v>8.9592686410102225</v>
      </c>
      <c r="K896" s="3">
        <f t="shared" ca="1" si="97"/>
        <v>16.445103476821192</v>
      </c>
    </row>
    <row r="897" spans="3:11" x14ac:dyDescent="0.35">
      <c r="C897" t="str">
        <f t="shared" ca="1" si="91"/>
        <v>3Q2023</v>
      </c>
      <c r="D897" vm="1782">
        <f ca="1"/>
        <v>45243</v>
      </c>
      <c r="E897" vm="1783">
        <f ca="1"/>
        <v>48.62</v>
      </c>
      <c r="F897" s="3">
        <f t="shared" ca="1" si="92"/>
        <v>0.37481751824817516</v>
      </c>
      <c r="G897" s="3">
        <f t="shared" ca="1" si="93"/>
        <v>1.348742903487429</v>
      </c>
      <c r="H897" s="3">
        <f t="shared" ca="1" si="94"/>
        <v>0.73479318734793186</v>
      </c>
      <c r="I897" s="3">
        <f t="shared" ca="1" si="95"/>
        <v>32.429113924050633</v>
      </c>
      <c r="J897" s="3">
        <f t="shared" ca="1" si="96"/>
        <v>9.0120956103427545</v>
      </c>
      <c r="K897" s="3">
        <f t="shared" ca="1" si="97"/>
        <v>16.542069536423842</v>
      </c>
    </row>
    <row r="898" spans="3:11" x14ac:dyDescent="0.35">
      <c r="C898" t="str">
        <f t="shared" ca="1" si="91"/>
        <v>3Q2023</v>
      </c>
      <c r="D898" vm="1784">
        <f ca="1"/>
        <v>45244</v>
      </c>
      <c r="E898" vm="1785">
        <f ca="1"/>
        <v>49.655999999999999</v>
      </c>
      <c r="F898" s="3">
        <f t="shared" ca="1" si="92"/>
        <v>0.37481751824817516</v>
      </c>
      <c r="G898" s="3">
        <f t="shared" ca="1" si="93"/>
        <v>1.348742903487429</v>
      </c>
      <c r="H898" s="3">
        <f t="shared" ca="1" si="94"/>
        <v>0.73479318734793186</v>
      </c>
      <c r="I898" s="3">
        <f t="shared" ca="1" si="95"/>
        <v>33.120116845180135</v>
      </c>
      <c r="J898" s="3">
        <f t="shared" ca="1" si="96"/>
        <v>9.2041262778111843</v>
      </c>
      <c r="K898" s="3">
        <f t="shared" ca="1" si="97"/>
        <v>16.894549668874173</v>
      </c>
    </row>
    <row r="899" spans="3:11" x14ac:dyDescent="0.35">
      <c r="C899" t="str">
        <f t="shared" ref="C899:C962" ca="1" si="98">LOOKUP(D899,$N$2:$N$27,$M$2:$M$27)</f>
        <v>3Q2023</v>
      </c>
      <c r="D899" vm="1786">
        <f ca="1"/>
        <v>45245</v>
      </c>
      <c r="E899" vm="1787">
        <f ca="1"/>
        <v>48.887999999999998</v>
      </c>
      <c r="F899" s="3">
        <f t="shared" ca="1" si="92"/>
        <v>0.37481751824817516</v>
      </c>
      <c r="G899" s="3">
        <f t="shared" ca="1" si="93"/>
        <v>1.348742903487429</v>
      </c>
      <c r="H899" s="3">
        <f t="shared" ca="1" si="94"/>
        <v>0.73479318734793186</v>
      </c>
      <c r="I899" s="3">
        <f t="shared" ca="1" si="95"/>
        <v>32.607867575462514</v>
      </c>
      <c r="J899" s="3">
        <f t="shared" ca="1" si="96"/>
        <v>9.0617714972940462</v>
      </c>
      <c r="K899" s="3">
        <f t="shared" ca="1" si="97"/>
        <v>16.633251655629138</v>
      </c>
    </row>
    <row r="900" spans="3:11" x14ac:dyDescent="0.35">
      <c r="C900" t="str">
        <f t="shared" ca="1" si="98"/>
        <v>3Q2023</v>
      </c>
      <c r="D900" vm="1788">
        <f ca="1"/>
        <v>45246</v>
      </c>
      <c r="E900" vm="1789">
        <f ca="1"/>
        <v>49.48</v>
      </c>
      <c r="F900" s="3">
        <f t="shared" ref="F900:F963" ca="1" si="99">VLOOKUP($C900,$M$2:$R$27,4,0)/VLOOKUP($C900,$M$2:$R$27,3,0)</f>
        <v>0.37481751824817516</v>
      </c>
      <c r="G900" s="3">
        <f t="shared" ref="G900:G963" ca="1" si="100">VLOOKUP($C900,$M$2:$R$27,6,0)/VLOOKUP($C900,$M$2:$R$27,3,0)</f>
        <v>1.348742903487429</v>
      </c>
      <c r="H900" s="3">
        <f t="shared" ref="H900:H963" ca="1" si="101">VLOOKUP($C900,$M$2:$R$27,5,0)/VLOOKUP($C900,$M$2:$R$27,3,0)</f>
        <v>0.73479318734793186</v>
      </c>
      <c r="I900" s="3">
        <f t="shared" ref="I900:I963" ca="1" si="102">$E900/(F900*4)</f>
        <v>33.002726387536512</v>
      </c>
      <c r="J900" s="3">
        <f t="shared" ref="J900:J963" ca="1" si="103">$E900/(G900*4)</f>
        <v>9.1715033072760068</v>
      </c>
      <c r="K900" s="3">
        <f t="shared" ref="K900:K963" ca="1" si="104">$E900/(H900*4)</f>
        <v>16.834668874172184</v>
      </c>
    </row>
    <row r="901" spans="3:11" x14ac:dyDescent="0.35">
      <c r="C901" t="str">
        <f t="shared" ca="1" si="98"/>
        <v>3Q2023</v>
      </c>
      <c r="D901" vm="1790">
        <f ca="1"/>
        <v>45247</v>
      </c>
      <c r="E901" vm="1791">
        <f ca="1"/>
        <v>49.298000000000002</v>
      </c>
      <c r="F901" s="3">
        <f t="shared" ca="1" si="99"/>
        <v>0.37481751824817516</v>
      </c>
      <c r="G901" s="3">
        <f t="shared" ca="1" si="100"/>
        <v>1.348742903487429</v>
      </c>
      <c r="H901" s="3">
        <f t="shared" ca="1" si="101"/>
        <v>0.73479318734793186</v>
      </c>
      <c r="I901" s="3">
        <f t="shared" ca="1" si="102"/>
        <v>32.881333982473222</v>
      </c>
      <c r="J901" s="3">
        <f t="shared" ca="1" si="103"/>
        <v>9.1377681900180399</v>
      </c>
      <c r="K901" s="3">
        <f t="shared" ca="1" si="104"/>
        <v>16.772746688741723</v>
      </c>
    </row>
    <row r="902" spans="3:11" x14ac:dyDescent="0.35">
      <c r="C902" t="str">
        <f t="shared" ca="1" si="98"/>
        <v>3Q2023</v>
      </c>
      <c r="D902" vm="1792">
        <f ca="1"/>
        <v>45250</v>
      </c>
      <c r="E902" vm="1793">
        <f ca="1"/>
        <v>50.408999999999999</v>
      </c>
      <c r="F902" s="3">
        <f t="shared" ca="1" si="99"/>
        <v>0.37481751824817516</v>
      </c>
      <c r="G902" s="3">
        <f t="shared" ca="1" si="100"/>
        <v>1.348742903487429</v>
      </c>
      <c r="H902" s="3">
        <f t="shared" ca="1" si="101"/>
        <v>0.73479318734793186</v>
      </c>
      <c r="I902" s="3">
        <f t="shared" ca="1" si="102"/>
        <v>33.622361246348589</v>
      </c>
      <c r="J902" s="3">
        <f t="shared" ca="1" si="103"/>
        <v>9.343700691521347</v>
      </c>
      <c r="K902" s="3">
        <f t="shared" ca="1" si="104"/>
        <v>17.150744205298015</v>
      </c>
    </row>
    <row r="903" spans="3:11" x14ac:dyDescent="0.35">
      <c r="C903" t="str">
        <f t="shared" ca="1" si="98"/>
        <v>3Q2023</v>
      </c>
      <c r="D903" vm="1794">
        <f ca="1"/>
        <v>45251</v>
      </c>
      <c r="E903" vm="1795">
        <f ca="1"/>
        <v>49.944000000000003</v>
      </c>
      <c r="F903" s="3">
        <f t="shared" ca="1" si="99"/>
        <v>0.37481751824817516</v>
      </c>
      <c r="G903" s="3">
        <f t="shared" ca="1" si="100"/>
        <v>1.348742903487429</v>
      </c>
      <c r="H903" s="3">
        <f t="shared" ca="1" si="101"/>
        <v>0.73479318734793186</v>
      </c>
      <c r="I903" s="3">
        <f t="shared" ca="1" si="102"/>
        <v>33.312210321324251</v>
      </c>
      <c r="J903" s="3">
        <f t="shared" ca="1" si="103"/>
        <v>9.2575093205051129</v>
      </c>
      <c r="K903" s="3">
        <f t="shared" ca="1" si="104"/>
        <v>16.992536423841059</v>
      </c>
    </row>
    <row r="904" spans="3:11" x14ac:dyDescent="0.35">
      <c r="C904" t="str">
        <f t="shared" ca="1" si="98"/>
        <v>3Q2023</v>
      </c>
      <c r="D904" vm="1796">
        <f ca="1"/>
        <v>45252</v>
      </c>
      <c r="E904" vm="1797">
        <f ca="1"/>
        <v>48.716000000000001</v>
      </c>
      <c r="F904" s="3">
        <f t="shared" ca="1" si="99"/>
        <v>0.37481751824817516</v>
      </c>
      <c r="G904" s="3">
        <f t="shared" ca="1" si="100"/>
        <v>1.348742903487429</v>
      </c>
      <c r="H904" s="3">
        <f t="shared" ca="1" si="101"/>
        <v>0.73479318734793186</v>
      </c>
      <c r="I904" s="3">
        <f t="shared" ca="1" si="102"/>
        <v>32.493145082765338</v>
      </c>
      <c r="J904" s="3">
        <f t="shared" ca="1" si="103"/>
        <v>9.0298899579073968</v>
      </c>
      <c r="K904" s="3">
        <f t="shared" ca="1" si="104"/>
        <v>16.574731788079472</v>
      </c>
    </row>
    <row r="905" spans="3:11" x14ac:dyDescent="0.35">
      <c r="C905" t="str">
        <f t="shared" ca="1" si="98"/>
        <v>3Q2023</v>
      </c>
      <c r="D905" vm="1798">
        <f ca="1"/>
        <v>45254</v>
      </c>
      <c r="E905" vm="1799">
        <f ca="1"/>
        <v>47.776000000000003</v>
      </c>
      <c r="F905" s="3">
        <f t="shared" ca="1" si="99"/>
        <v>0.37481751824817516</v>
      </c>
      <c r="G905" s="3">
        <f t="shared" ca="1" si="100"/>
        <v>1.348742903487429</v>
      </c>
      <c r="H905" s="3">
        <f t="shared" ca="1" si="101"/>
        <v>0.73479318734793186</v>
      </c>
      <c r="I905" s="3">
        <f t="shared" ca="1" si="102"/>
        <v>31.866173320350541</v>
      </c>
      <c r="J905" s="3">
        <f t="shared" ca="1" si="103"/>
        <v>8.8556536380036093</v>
      </c>
      <c r="K905" s="3">
        <f t="shared" ca="1" si="104"/>
        <v>16.25491390728477</v>
      </c>
    </row>
    <row r="906" spans="3:11" x14ac:dyDescent="0.35">
      <c r="C906" t="str">
        <f t="shared" ca="1" si="98"/>
        <v>3Q2023</v>
      </c>
      <c r="D906" vm="1800">
        <f ca="1"/>
        <v>45257</v>
      </c>
      <c r="E906" vm="1801">
        <f ca="1"/>
        <v>48.241999999999997</v>
      </c>
      <c r="F906" s="3">
        <f t="shared" ca="1" si="99"/>
        <v>0.37481751824817516</v>
      </c>
      <c r="G906" s="3">
        <f t="shared" ca="1" si="100"/>
        <v>1.348742903487429</v>
      </c>
      <c r="H906" s="3">
        <f t="shared" ca="1" si="101"/>
        <v>0.73479318734793186</v>
      </c>
      <c r="I906" s="3">
        <f t="shared" ca="1" si="102"/>
        <v>32.176991236611492</v>
      </c>
      <c r="J906" s="3">
        <f t="shared" ca="1" si="103"/>
        <v>8.9420303668069749</v>
      </c>
      <c r="K906" s="3">
        <f t="shared" ca="1" si="104"/>
        <v>16.413461920529802</v>
      </c>
    </row>
    <row r="907" spans="3:11" x14ac:dyDescent="0.35">
      <c r="C907" t="str">
        <f t="shared" ca="1" si="98"/>
        <v>3Q2023</v>
      </c>
      <c r="D907" vm="1802">
        <f ca="1"/>
        <v>45258</v>
      </c>
      <c r="E907" vm="1803">
        <f ca="1"/>
        <v>47.820999999999998</v>
      </c>
      <c r="F907" s="3">
        <f t="shared" ca="1" si="99"/>
        <v>0.37481751824817516</v>
      </c>
      <c r="G907" s="3">
        <f t="shared" ca="1" si="100"/>
        <v>1.348742903487429</v>
      </c>
      <c r="H907" s="3">
        <f t="shared" ca="1" si="101"/>
        <v>0.73479318734793186</v>
      </c>
      <c r="I907" s="3">
        <f t="shared" ca="1" si="102"/>
        <v>31.896187925998053</v>
      </c>
      <c r="J907" s="3">
        <f t="shared" ca="1" si="103"/>
        <v>8.8639947384245339</v>
      </c>
      <c r="K907" s="3">
        <f t="shared" ca="1" si="104"/>
        <v>16.270224337748346</v>
      </c>
    </row>
    <row r="908" spans="3:11" x14ac:dyDescent="0.35">
      <c r="C908" t="str">
        <f t="shared" ca="1" si="98"/>
        <v>3Q2023</v>
      </c>
      <c r="D908" vm="1804">
        <f ca="1"/>
        <v>45259</v>
      </c>
      <c r="E908" vm="1805">
        <f ca="1"/>
        <v>48.14</v>
      </c>
      <c r="F908" s="3">
        <f t="shared" ca="1" si="99"/>
        <v>0.37481751824817516</v>
      </c>
      <c r="G908" s="3">
        <f t="shared" ca="1" si="100"/>
        <v>1.348742903487429</v>
      </c>
      <c r="H908" s="3">
        <f t="shared" ca="1" si="101"/>
        <v>0.73479318734793186</v>
      </c>
      <c r="I908" s="3">
        <f t="shared" ca="1" si="102"/>
        <v>32.10895813047712</v>
      </c>
      <c r="J908" s="3">
        <f t="shared" ca="1" si="103"/>
        <v>8.9231238725195432</v>
      </c>
      <c r="K908" s="3">
        <f t="shared" ca="1" si="104"/>
        <v>16.378758278145696</v>
      </c>
    </row>
    <row r="909" spans="3:11" x14ac:dyDescent="0.35">
      <c r="C909" t="str">
        <f t="shared" ca="1" si="98"/>
        <v>3Q2023</v>
      </c>
      <c r="D909" vm="1806">
        <f ca="1"/>
        <v>45260</v>
      </c>
      <c r="E909" vm="1807">
        <f ca="1"/>
        <v>46.77</v>
      </c>
      <c r="F909" s="3">
        <f t="shared" ca="1" si="99"/>
        <v>0.37481751824817516</v>
      </c>
      <c r="G909" s="3">
        <f t="shared" ca="1" si="100"/>
        <v>1.348742903487429</v>
      </c>
      <c r="H909" s="3">
        <f t="shared" ca="1" si="101"/>
        <v>0.73479318734793186</v>
      </c>
      <c r="I909" s="3">
        <f t="shared" ca="1" si="102"/>
        <v>31.195180136319379</v>
      </c>
      <c r="J909" s="3">
        <f t="shared" ca="1" si="103"/>
        <v>8.6691837041491286</v>
      </c>
      <c r="K909" s="3">
        <f t="shared" ca="1" si="104"/>
        <v>15.912640728476822</v>
      </c>
    </row>
    <row r="910" spans="3:11" x14ac:dyDescent="0.35">
      <c r="C910" t="str">
        <f t="shared" ca="1" si="98"/>
        <v>3Q2023</v>
      </c>
      <c r="D910" vm="1808">
        <f ca="1"/>
        <v>45261</v>
      </c>
      <c r="E910" vm="1809">
        <f ca="1"/>
        <v>46.765000000000001</v>
      </c>
      <c r="F910" s="3">
        <f t="shared" ca="1" si="99"/>
        <v>0.37481751824817516</v>
      </c>
      <c r="G910" s="3">
        <f t="shared" ca="1" si="100"/>
        <v>1.348742903487429</v>
      </c>
      <c r="H910" s="3">
        <f t="shared" ca="1" si="101"/>
        <v>0.73479318734793186</v>
      </c>
      <c r="I910" s="3">
        <f t="shared" ca="1" si="102"/>
        <v>31.191845180136323</v>
      </c>
      <c r="J910" s="3">
        <f t="shared" ca="1" si="103"/>
        <v>8.6682569152134707</v>
      </c>
      <c r="K910" s="3">
        <f t="shared" ca="1" si="104"/>
        <v>15.910939569536424</v>
      </c>
    </row>
    <row r="911" spans="3:11" x14ac:dyDescent="0.35">
      <c r="C911" t="str">
        <f t="shared" ca="1" si="98"/>
        <v>3Q2023</v>
      </c>
      <c r="D911" vm="1810">
        <f ca="1"/>
        <v>45264</v>
      </c>
      <c r="E911" vm="1811">
        <f ca="1"/>
        <v>45.51</v>
      </c>
      <c r="F911" s="3">
        <f t="shared" ca="1" si="99"/>
        <v>0.37481751824817516</v>
      </c>
      <c r="G911" s="3">
        <f t="shared" ca="1" si="100"/>
        <v>1.348742903487429</v>
      </c>
      <c r="H911" s="3">
        <f t="shared" ca="1" si="101"/>
        <v>0.73479318734793186</v>
      </c>
      <c r="I911" s="3">
        <f t="shared" ca="1" si="102"/>
        <v>30.354771178188901</v>
      </c>
      <c r="J911" s="3">
        <f t="shared" ca="1" si="103"/>
        <v>8.4356328923631985</v>
      </c>
      <c r="K911" s="3">
        <f t="shared" ca="1" si="104"/>
        <v>15.483948675496688</v>
      </c>
    </row>
    <row r="912" spans="3:11" x14ac:dyDescent="0.35">
      <c r="C912" t="str">
        <f t="shared" ca="1" si="98"/>
        <v>3Q2023</v>
      </c>
      <c r="D912" vm="1812">
        <f ca="1"/>
        <v>45265</v>
      </c>
      <c r="E912" vm="1813">
        <f ca="1"/>
        <v>46.566000000000003</v>
      </c>
      <c r="F912" s="3">
        <f t="shared" ca="1" si="99"/>
        <v>0.37481751824817516</v>
      </c>
      <c r="G912" s="3">
        <f t="shared" ca="1" si="100"/>
        <v>1.348742903487429</v>
      </c>
      <c r="H912" s="3">
        <f t="shared" ca="1" si="101"/>
        <v>0.73479318734793186</v>
      </c>
      <c r="I912" s="3">
        <f t="shared" ca="1" si="102"/>
        <v>31.059113924050635</v>
      </c>
      <c r="J912" s="3">
        <f t="shared" ca="1" si="103"/>
        <v>8.6313707155742634</v>
      </c>
      <c r="K912" s="3">
        <f t="shared" ca="1" si="104"/>
        <v>15.843233443708611</v>
      </c>
    </row>
    <row r="913" spans="3:11" x14ac:dyDescent="0.35">
      <c r="C913" t="str">
        <f t="shared" ca="1" si="98"/>
        <v>3Q2023</v>
      </c>
      <c r="D913" vm="1814">
        <f ca="1"/>
        <v>45266</v>
      </c>
      <c r="E913" vm="1815">
        <f ca="1"/>
        <v>45.503</v>
      </c>
      <c r="F913" s="3">
        <f t="shared" ca="1" si="99"/>
        <v>0.37481751824817516</v>
      </c>
      <c r="G913" s="3">
        <f t="shared" ca="1" si="100"/>
        <v>1.348742903487429</v>
      </c>
      <c r="H913" s="3">
        <f t="shared" ca="1" si="101"/>
        <v>0.73479318734793186</v>
      </c>
      <c r="I913" s="3">
        <f t="shared" ca="1" si="102"/>
        <v>30.350102239532621</v>
      </c>
      <c r="J913" s="3">
        <f t="shared" ca="1" si="103"/>
        <v>8.4343353878532774</v>
      </c>
      <c r="K913" s="3">
        <f t="shared" ca="1" si="104"/>
        <v>15.481567052980132</v>
      </c>
    </row>
    <row r="914" spans="3:11" x14ac:dyDescent="0.35">
      <c r="C914" t="str">
        <f t="shared" ca="1" si="98"/>
        <v>3Q2023</v>
      </c>
      <c r="D914" vm="1816">
        <f ca="1"/>
        <v>45267</v>
      </c>
      <c r="E914" vm="1817">
        <f ca="1"/>
        <v>46.595999999999997</v>
      </c>
      <c r="F914" s="3">
        <f t="shared" ca="1" si="99"/>
        <v>0.37481751824817516</v>
      </c>
      <c r="G914" s="3">
        <f t="shared" ca="1" si="100"/>
        <v>1.348742903487429</v>
      </c>
      <c r="H914" s="3">
        <f t="shared" ca="1" si="101"/>
        <v>0.73479318734793186</v>
      </c>
      <c r="I914" s="3">
        <f t="shared" ca="1" si="102"/>
        <v>31.079123661148977</v>
      </c>
      <c r="J914" s="3">
        <f t="shared" ca="1" si="103"/>
        <v>8.6369314491882143</v>
      </c>
      <c r="K914" s="3">
        <f t="shared" ca="1" si="104"/>
        <v>15.853440397350992</v>
      </c>
    </row>
    <row r="915" spans="3:11" x14ac:dyDescent="0.35">
      <c r="C915" t="str">
        <f t="shared" ca="1" si="98"/>
        <v>3Q2023</v>
      </c>
      <c r="D915" vm="1818">
        <f ca="1"/>
        <v>45268</v>
      </c>
      <c r="E915" vm="1819">
        <f ca="1"/>
        <v>47.506</v>
      </c>
      <c r="F915" s="3">
        <f t="shared" ca="1" si="99"/>
        <v>0.37481751824817516</v>
      </c>
      <c r="G915" s="3">
        <f t="shared" ca="1" si="100"/>
        <v>1.348742903487429</v>
      </c>
      <c r="H915" s="3">
        <f t="shared" ca="1" si="101"/>
        <v>0.73479318734793186</v>
      </c>
      <c r="I915" s="3">
        <f t="shared" ca="1" si="102"/>
        <v>31.686085686465436</v>
      </c>
      <c r="J915" s="3">
        <f t="shared" ca="1" si="103"/>
        <v>8.8056070354780527</v>
      </c>
      <c r="K915" s="3">
        <f t="shared" ca="1" si="104"/>
        <v>16.163051324503311</v>
      </c>
    </row>
    <row r="916" spans="3:11" x14ac:dyDescent="0.35">
      <c r="C916" t="str">
        <f t="shared" ca="1" si="98"/>
        <v>3Q2023</v>
      </c>
      <c r="D916" vm="1820">
        <f ca="1"/>
        <v>45271</v>
      </c>
      <c r="E916" vm="1821">
        <f ca="1"/>
        <v>46.627000000000002</v>
      </c>
      <c r="F916" s="3">
        <f t="shared" ca="1" si="99"/>
        <v>0.37481751824817516</v>
      </c>
      <c r="G916" s="3">
        <f t="shared" ca="1" si="100"/>
        <v>1.348742903487429</v>
      </c>
      <c r="H916" s="3">
        <f t="shared" ca="1" si="101"/>
        <v>0.73479318734793186</v>
      </c>
      <c r="I916" s="3">
        <f t="shared" ca="1" si="102"/>
        <v>31.099800389483939</v>
      </c>
      <c r="J916" s="3">
        <f t="shared" ca="1" si="103"/>
        <v>8.6426775405892968</v>
      </c>
      <c r="K916" s="3">
        <f t="shared" ca="1" si="104"/>
        <v>15.863987582781458</v>
      </c>
    </row>
    <row r="917" spans="3:11" x14ac:dyDescent="0.35">
      <c r="C917" t="str">
        <f t="shared" ca="1" si="98"/>
        <v>3Q2023</v>
      </c>
      <c r="D917" vm="1822">
        <f ca="1"/>
        <v>45272</v>
      </c>
      <c r="E917" vm="1823">
        <f ca="1"/>
        <v>47.656999999999996</v>
      </c>
      <c r="F917" s="3">
        <f t="shared" ca="1" si="99"/>
        <v>0.37481751824817516</v>
      </c>
      <c r="G917" s="3">
        <f t="shared" ca="1" si="100"/>
        <v>1.348742903487429</v>
      </c>
      <c r="H917" s="3">
        <f t="shared" ca="1" si="101"/>
        <v>0.73479318734793186</v>
      </c>
      <c r="I917" s="3">
        <f t="shared" ca="1" si="102"/>
        <v>31.786801363193767</v>
      </c>
      <c r="J917" s="3">
        <f t="shared" ca="1" si="103"/>
        <v>8.8335960613349371</v>
      </c>
      <c r="K917" s="3">
        <f t="shared" ca="1" si="104"/>
        <v>16.214426324503311</v>
      </c>
    </row>
    <row r="918" spans="3:11" x14ac:dyDescent="0.35">
      <c r="C918" t="str">
        <f t="shared" ca="1" si="98"/>
        <v>3Q2023</v>
      </c>
      <c r="D918" vm="1824">
        <f ca="1"/>
        <v>45273</v>
      </c>
      <c r="E918" vm="1825">
        <f ca="1"/>
        <v>48.088000000000001</v>
      </c>
      <c r="F918" s="3">
        <f t="shared" ca="1" si="99"/>
        <v>0.37481751824817516</v>
      </c>
      <c r="G918" s="3">
        <f t="shared" ca="1" si="100"/>
        <v>1.348742903487429</v>
      </c>
      <c r="H918" s="3">
        <f t="shared" ca="1" si="101"/>
        <v>0.73479318734793186</v>
      </c>
      <c r="I918" s="3">
        <f t="shared" ca="1" si="102"/>
        <v>32.074274586173324</v>
      </c>
      <c r="J918" s="3">
        <f t="shared" ca="1" si="103"/>
        <v>8.9134852675886957</v>
      </c>
      <c r="K918" s="3">
        <f t="shared" ca="1" si="104"/>
        <v>16.361066225165562</v>
      </c>
    </row>
    <row r="919" spans="3:11" x14ac:dyDescent="0.35">
      <c r="C919" t="str">
        <f t="shared" ca="1" si="98"/>
        <v>3Q2023</v>
      </c>
      <c r="D919" vm="1826">
        <f ca="1"/>
        <v>45274</v>
      </c>
      <c r="E919" vm="1827">
        <f ca="1"/>
        <v>48.35</v>
      </c>
      <c r="F919" s="3">
        <f t="shared" ca="1" si="99"/>
        <v>0.37481751824817516</v>
      </c>
      <c r="G919" s="3">
        <f t="shared" ca="1" si="100"/>
        <v>1.348742903487429</v>
      </c>
      <c r="H919" s="3">
        <f t="shared" ca="1" si="101"/>
        <v>0.73479318734793186</v>
      </c>
      <c r="I919" s="3">
        <f t="shared" ca="1" si="102"/>
        <v>32.249026290165531</v>
      </c>
      <c r="J919" s="3">
        <f t="shared" ca="1" si="103"/>
        <v>8.9620490078171979</v>
      </c>
      <c r="K919" s="3">
        <f t="shared" ca="1" si="104"/>
        <v>16.450206953642386</v>
      </c>
    </row>
    <row r="920" spans="3:11" x14ac:dyDescent="0.35">
      <c r="C920" t="str">
        <f t="shared" ca="1" si="98"/>
        <v>3Q2023</v>
      </c>
      <c r="D920" vm="1828">
        <f ca="1"/>
        <v>45275</v>
      </c>
      <c r="E920" vm="1829">
        <f ca="1"/>
        <v>48.89</v>
      </c>
      <c r="F920" s="3">
        <f t="shared" ca="1" si="99"/>
        <v>0.37481751824817516</v>
      </c>
      <c r="G920" s="3">
        <f t="shared" ca="1" si="100"/>
        <v>1.348742903487429</v>
      </c>
      <c r="H920" s="3">
        <f t="shared" ca="1" si="101"/>
        <v>0.73479318734793186</v>
      </c>
      <c r="I920" s="3">
        <f t="shared" ca="1" si="102"/>
        <v>32.609201557935734</v>
      </c>
      <c r="J920" s="3">
        <f t="shared" ca="1" si="103"/>
        <v>9.0621422128683111</v>
      </c>
      <c r="K920" s="3">
        <f t="shared" ca="1" si="104"/>
        <v>16.633932119205298</v>
      </c>
    </row>
    <row r="921" spans="3:11" x14ac:dyDescent="0.35">
      <c r="C921" t="str">
        <f t="shared" ca="1" si="98"/>
        <v>3Q2023</v>
      </c>
      <c r="D921" vm="1830">
        <f ca="1"/>
        <v>45278</v>
      </c>
      <c r="E921" vm="1831">
        <f ca="1"/>
        <v>50.076999999999998</v>
      </c>
      <c r="F921" s="3">
        <f t="shared" ca="1" si="99"/>
        <v>0.37481751824817516</v>
      </c>
      <c r="G921" s="3">
        <f t="shared" ca="1" si="100"/>
        <v>1.348742903487429</v>
      </c>
      <c r="H921" s="3">
        <f t="shared" ca="1" si="101"/>
        <v>0.73479318734793186</v>
      </c>
      <c r="I921" s="3">
        <f t="shared" ca="1" si="102"/>
        <v>33.400920155793571</v>
      </c>
      <c r="J921" s="3">
        <f t="shared" ca="1" si="103"/>
        <v>9.2821619061936254</v>
      </c>
      <c r="K921" s="3">
        <f t="shared" ca="1" si="104"/>
        <v>17.037787251655629</v>
      </c>
    </row>
    <row r="922" spans="3:11" x14ac:dyDescent="0.35">
      <c r="C922" t="str">
        <f t="shared" ca="1" si="98"/>
        <v>3Q2023</v>
      </c>
      <c r="D922" vm="1832">
        <f ca="1"/>
        <v>45279</v>
      </c>
      <c r="E922" vm="1833">
        <f ca="1"/>
        <v>49.603999999999999</v>
      </c>
      <c r="F922" s="3">
        <f t="shared" ca="1" si="99"/>
        <v>0.37481751824817516</v>
      </c>
      <c r="G922" s="3">
        <f t="shared" ca="1" si="100"/>
        <v>1.348742903487429</v>
      </c>
      <c r="H922" s="3">
        <f t="shared" ca="1" si="101"/>
        <v>0.73479318734793186</v>
      </c>
      <c r="I922" s="3">
        <f t="shared" ca="1" si="102"/>
        <v>33.085433300876339</v>
      </c>
      <c r="J922" s="3">
        <f t="shared" ca="1" si="103"/>
        <v>9.1944876728803369</v>
      </c>
      <c r="K922" s="3">
        <f t="shared" ca="1" si="104"/>
        <v>16.876857615894039</v>
      </c>
    </row>
    <row r="923" spans="3:11" x14ac:dyDescent="0.35">
      <c r="C923" t="str">
        <f t="shared" ca="1" si="98"/>
        <v>3Q2023</v>
      </c>
      <c r="D923" vm="1834">
        <f ca="1"/>
        <v>45280</v>
      </c>
      <c r="E923" vm="1835">
        <f ca="1"/>
        <v>48.110999999999997</v>
      </c>
      <c r="F923" s="3">
        <f t="shared" ca="1" si="99"/>
        <v>0.37481751824817516</v>
      </c>
      <c r="G923" s="3">
        <f t="shared" ca="1" si="100"/>
        <v>1.348742903487429</v>
      </c>
      <c r="H923" s="3">
        <f t="shared" ca="1" si="101"/>
        <v>0.73479318734793186</v>
      </c>
      <c r="I923" s="3">
        <f t="shared" ca="1" si="102"/>
        <v>32.089615384615385</v>
      </c>
      <c r="J923" s="3">
        <f t="shared" ca="1" si="103"/>
        <v>8.9177484966927238</v>
      </c>
      <c r="K923" s="3">
        <f t="shared" ca="1" si="104"/>
        <v>16.368891556291391</v>
      </c>
    </row>
    <row r="924" spans="3:11" x14ac:dyDescent="0.35">
      <c r="C924" t="str">
        <f t="shared" ca="1" si="98"/>
        <v>3Q2023</v>
      </c>
      <c r="D924" vm="1836">
        <f ca="1"/>
        <v>45281</v>
      </c>
      <c r="E924" vm="1837">
        <f ca="1"/>
        <v>48.99</v>
      </c>
      <c r="F924" s="3">
        <f t="shared" ca="1" si="99"/>
        <v>0.37481751824817516</v>
      </c>
      <c r="G924" s="3">
        <f t="shared" ca="1" si="100"/>
        <v>1.348742903487429</v>
      </c>
      <c r="H924" s="3">
        <f t="shared" ca="1" si="101"/>
        <v>0.73479318734793186</v>
      </c>
      <c r="I924" s="3">
        <f t="shared" ca="1" si="102"/>
        <v>32.675900681596886</v>
      </c>
      <c r="J924" s="3">
        <f t="shared" ca="1" si="103"/>
        <v>9.0806779915814797</v>
      </c>
      <c r="K924" s="3">
        <f t="shared" ca="1" si="104"/>
        <v>16.667955298013247</v>
      </c>
    </row>
    <row r="925" spans="3:11" x14ac:dyDescent="0.35">
      <c r="C925" t="str">
        <f t="shared" ca="1" si="98"/>
        <v>3Q2023</v>
      </c>
      <c r="D925" vm="1838">
        <f ca="1"/>
        <v>45282</v>
      </c>
      <c r="E925" vm="1839">
        <f ca="1"/>
        <v>48.83</v>
      </c>
      <c r="F925" s="3">
        <f t="shared" ca="1" si="99"/>
        <v>0.37481751824817516</v>
      </c>
      <c r="G925" s="3">
        <f t="shared" ca="1" si="100"/>
        <v>1.348742903487429</v>
      </c>
      <c r="H925" s="3">
        <f t="shared" ca="1" si="101"/>
        <v>0.73479318734793186</v>
      </c>
      <c r="I925" s="3">
        <f t="shared" ca="1" si="102"/>
        <v>32.569182083739044</v>
      </c>
      <c r="J925" s="3">
        <f t="shared" ca="1" si="103"/>
        <v>9.0510207456404093</v>
      </c>
      <c r="K925" s="3">
        <f t="shared" ca="1" si="104"/>
        <v>16.613518211920528</v>
      </c>
    </row>
    <row r="926" spans="3:11" x14ac:dyDescent="0.35">
      <c r="C926" t="str">
        <f t="shared" ca="1" si="98"/>
        <v>3Q2023</v>
      </c>
      <c r="D926" vm="1840">
        <f ca="1"/>
        <v>45286</v>
      </c>
      <c r="E926" vm="1841">
        <f ca="1"/>
        <v>49.279000000000003</v>
      </c>
      <c r="F926" s="3">
        <f t="shared" ca="1" si="99"/>
        <v>0.37481751824817516</v>
      </c>
      <c r="G926" s="3">
        <f t="shared" ca="1" si="100"/>
        <v>1.348742903487429</v>
      </c>
      <c r="H926" s="3">
        <f t="shared" ca="1" si="101"/>
        <v>0.73479318734793186</v>
      </c>
      <c r="I926" s="3">
        <f t="shared" ca="1" si="102"/>
        <v>32.868661148977608</v>
      </c>
      <c r="J926" s="3">
        <f t="shared" ca="1" si="103"/>
        <v>9.1342463920625381</v>
      </c>
      <c r="K926" s="3">
        <f t="shared" ca="1" si="104"/>
        <v>16.766282284768213</v>
      </c>
    </row>
    <row r="927" spans="3:11" x14ac:dyDescent="0.35">
      <c r="C927" t="str">
        <f t="shared" ca="1" si="98"/>
        <v>3Q2023</v>
      </c>
      <c r="D927" vm="1842">
        <f ca="1"/>
        <v>45287</v>
      </c>
      <c r="E927" vm="1843">
        <f ca="1"/>
        <v>49.417000000000002</v>
      </c>
      <c r="F927" s="3">
        <f t="shared" ca="1" si="99"/>
        <v>0.37481751824817516</v>
      </c>
      <c r="G927" s="3">
        <f t="shared" ca="1" si="100"/>
        <v>1.348742903487429</v>
      </c>
      <c r="H927" s="3">
        <f t="shared" ca="1" si="101"/>
        <v>0.73479318734793186</v>
      </c>
      <c r="I927" s="3">
        <f t="shared" ca="1" si="102"/>
        <v>32.960705939629996</v>
      </c>
      <c r="J927" s="3">
        <f t="shared" ca="1" si="103"/>
        <v>9.159825766686712</v>
      </c>
      <c r="K927" s="3">
        <f t="shared" ca="1" si="104"/>
        <v>16.813234271523179</v>
      </c>
    </row>
    <row r="928" spans="3:11" x14ac:dyDescent="0.35">
      <c r="C928" t="str">
        <f t="shared" ca="1" si="98"/>
        <v>3Q2023</v>
      </c>
      <c r="D928" vm="1844">
        <f ca="1"/>
        <v>45288</v>
      </c>
      <c r="E928" vm="1845">
        <f ca="1"/>
        <v>49.521999999999998</v>
      </c>
      <c r="F928" s="3">
        <f t="shared" ca="1" si="99"/>
        <v>0.37481751824817516</v>
      </c>
      <c r="G928" s="3">
        <f t="shared" ca="1" si="100"/>
        <v>1.348742903487429</v>
      </c>
      <c r="H928" s="3">
        <f t="shared" ca="1" si="101"/>
        <v>0.73479318734793186</v>
      </c>
      <c r="I928" s="3">
        <f t="shared" ca="1" si="102"/>
        <v>33.030740019474194</v>
      </c>
      <c r="J928" s="3">
        <f t="shared" ca="1" si="103"/>
        <v>9.1792883343355385</v>
      </c>
      <c r="K928" s="3">
        <f t="shared" ca="1" si="104"/>
        <v>16.848958609271524</v>
      </c>
    </row>
    <row r="929" spans="3:11" x14ac:dyDescent="0.35">
      <c r="C929" t="str">
        <f t="shared" ca="1" si="98"/>
        <v>3Q2023</v>
      </c>
      <c r="D929" vm="1846">
        <f ca="1"/>
        <v>45289</v>
      </c>
      <c r="E929" vm="1845">
        <f ca="1"/>
        <v>49.521999999999998</v>
      </c>
      <c r="F929" s="3">
        <f t="shared" ca="1" si="99"/>
        <v>0.37481751824817516</v>
      </c>
      <c r="G929" s="3">
        <f t="shared" ca="1" si="100"/>
        <v>1.348742903487429</v>
      </c>
      <c r="H929" s="3">
        <f t="shared" ca="1" si="101"/>
        <v>0.73479318734793186</v>
      </c>
      <c r="I929" s="3">
        <f t="shared" ca="1" si="102"/>
        <v>33.030740019474194</v>
      </c>
      <c r="J929" s="3">
        <f t="shared" ca="1" si="103"/>
        <v>9.1792883343355385</v>
      </c>
      <c r="K929" s="3">
        <f t="shared" ca="1" si="104"/>
        <v>16.848958609271524</v>
      </c>
    </row>
    <row r="930" spans="3:11" x14ac:dyDescent="0.35">
      <c r="C930" t="str">
        <f t="shared" ca="1" si="98"/>
        <v>3Q2023</v>
      </c>
      <c r="D930" vm="1847">
        <f ca="1"/>
        <v>45293</v>
      </c>
      <c r="E930" vm="1848">
        <f ca="1"/>
        <v>48.167999999999999</v>
      </c>
      <c r="F930" s="3">
        <f t="shared" ca="1" si="99"/>
        <v>0.37481751824817516</v>
      </c>
      <c r="G930" s="3">
        <f t="shared" ca="1" si="100"/>
        <v>1.348742903487429</v>
      </c>
      <c r="H930" s="3">
        <f t="shared" ca="1" si="101"/>
        <v>0.73479318734793186</v>
      </c>
      <c r="I930" s="3">
        <f t="shared" ca="1" si="102"/>
        <v>32.127633885102242</v>
      </c>
      <c r="J930" s="3">
        <f t="shared" ca="1" si="103"/>
        <v>8.928313890559231</v>
      </c>
      <c r="K930" s="3">
        <f t="shared" ca="1" si="104"/>
        <v>16.388284768211921</v>
      </c>
    </row>
    <row r="931" spans="3:11" x14ac:dyDescent="0.35">
      <c r="C931" t="str">
        <f t="shared" ca="1" si="98"/>
        <v>3Q2023</v>
      </c>
      <c r="D931" vm="1849">
        <f ca="1"/>
        <v>45294</v>
      </c>
      <c r="E931" vm="1850">
        <f ca="1"/>
        <v>47.569000000000003</v>
      </c>
      <c r="F931" s="3">
        <f t="shared" ca="1" si="99"/>
        <v>0.37481751824817516</v>
      </c>
      <c r="G931" s="3">
        <f t="shared" ca="1" si="100"/>
        <v>1.348742903487429</v>
      </c>
      <c r="H931" s="3">
        <f t="shared" ca="1" si="101"/>
        <v>0.73479318734793186</v>
      </c>
      <c r="I931" s="3">
        <f t="shared" ca="1" si="102"/>
        <v>31.728106134371959</v>
      </c>
      <c r="J931" s="3">
        <f t="shared" ca="1" si="103"/>
        <v>8.8172845760673493</v>
      </c>
      <c r="K931" s="3">
        <f t="shared" ca="1" si="104"/>
        <v>16.18448592715232</v>
      </c>
    </row>
    <row r="932" spans="3:11" x14ac:dyDescent="0.35">
      <c r="C932" t="str">
        <f t="shared" ca="1" si="98"/>
        <v>3Q2023</v>
      </c>
      <c r="D932" vm="1851">
        <f ca="1"/>
        <v>45295</v>
      </c>
      <c r="E932" vm="1852">
        <f ca="1"/>
        <v>47.997999999999998</v>
      </c>
      <c r="F932" s="3">
        <f t="shared" ca="1" si="99"/>
        <v>0.37481751824817516</v>
      </c>
      <c r="G932" s="3">
        <f t="shared" ca="1" si="100"/>
        <v>1.348742903487429</v>
      </c>
      <c r="H932" s="3">
        <f t="shared" ca="1" si="101"/>
        <v>0.73479318734793186</v>
      </c>
      <c r="I932" s="3">
        <f t="shared" ca="1" si="102"/>
        <v>32.014245374878286</v>
      </c>
      <c r="J932" s="3">
        <f t="shared" ca="1" si="103"/>
        <v>8.896803066746843</v>
      </c>
      <c r="K932" s="3">
        <f t="shared" ca="1" si="104"/>
        <v>16.330445364238411</v>
      </c>
    </row>
    <row r="933" spans="3:11" x14ac:dyDescent="0.35">
      <c r="C933" t="str">
        <f t="shared" ca="1" si="98"/>
        <v>3Q2023</v>
      </c>
      <c r="D933" vm="1853">
        <f ca="1"/>
        <v>45296</v>
      </c>
      <c r="E933" vm="1854">
        <f ca="1"/>
        <v>49.097000000000001</v>
      </c>
      <c r="F933" s="3">
        <f t="shared" ca="1" si="99"/>
        <v>0.37481751824817516</v>
      </c>
      <c r="G933" s="3">
        <f t="shared" ca="1" si="100"/>
        <v>1.348742903487429</v>
      </c>
      <c r="H933" s="3">
        <f t="shared" ca="1" si="101"/>
        <v>0.73479318734793186</v>
      </c>
      <c r="I933" s="3">
        <f t="shared" ca="1" si="102"/>
        <v>32.747268743914319</v>
      </c>
      <c r="J933" s="3">
        <f t="shared" ca="1" si="103"/>
        <v>9.1005112748045711</v>
      </c>
      <c r="K933" s="3">
        <f t="shared" ca="1" si="104"/>
        <v>16.704360099337748</v>
      </c>
    </row>
    <row r="934" spans="3:11" x14ac:dyDescent="0.35">
      <c r="C934" t="str">
        <f t="shared" ca="1" si="98"/>
        <v>3Q2023</v>
      </c>
      <c r="D934" vm="1855">
        <f ca="1"/>
        <v>45299</v>
      </c>
      <c r="E934" vm="1856">
        <f ca="1"/>
        <v>52.253</v>
      </c>
      <c r="F934" s="3">
        <f t="shared" ca="1" si="99"/>
        <v>0.37481751824817516</v>
      </c>
      <c r="G934" s="3">
        <f t="shared" ca="1" si="100"/>
        <v>1.348742903487429</v>
      </c>
      <c r="H934" s="3">
        <f t="shared" ca="1" si="101"/>
        <v>0.73479318734793186</v>
      </c>
      <c r="I934" s="3">
        <f t="shared" ca="1" si="102"/>
        <v>34.852293086660175</v>
      </c>
      <c r="J934" s="3">
        <f t="shared" ca="1" si="103"/>
        <v>9.6855004509921834</v>
      </c>
      <c r="K934" s="3">
        <f t="shared" ca="1" si="104"/>
        <v>17.778131622516558</v>
      </c>
    </row>
    <row r="935" spans="3:11" x14ac:dyDescent="0.35">
      <c r="C935" t="str">
        <f t="shared" ca="1" si="98"/>
        <v>3Q2023</v>
      </c>
      <c r="D935" vm="1857">
        <f ca="1"/>
        <v>45300</v>
      </c>
      <c r="E935" vm="1858">
        <f ca="1"/>
        <v>53.14</v>
      </c>
      <c r="F935" s="3">
        <f t="shared" ca="1" si="99"/>
        <v>0.37481751824817516</v>
      </c>
      <c r="G935" s="3">
        <f t="shared" ca="1" si="100"/>
        <v>1.348742903487429</v>
      </c>
      <c r="H935" s="3">
        <f t="shared" ca="1" si="101"/>
        <v>0.73479318734793186</v>
      </c>
      <c r="I935" s="3">
        <f t="shared" ca="1" si="102"/>
        <v>35.44391431353457</v>
      </c>
      <c r="J935" s="3">
        <f t="shared" ca="1" si="103"/>
        <v>9.8499128081779919</v>
      </c>
      <c r="K935" s="3">
        <f t="shared" ca="1" si="104"/>
        <v>18.079917218543045</v>
      </c>
    </row>
    <row r="936" spans="3:11" x14ac:dyDescent="0.35">
      <c r="C936" t="str">
        <f t="shared" ca="1" si="98"/>
        <v>3Q2023</v>
      </c>
      <c r="D936" vm="1859">
        <f ca="1"/>
        <v>45301</v>
      </c>
      <c r="E936" vm="1860">
        <f ca="1"/>
        <v>54.35</v>
      </c>
      <c r="F936" s="3">
        <f t="shared" ca="1" si="99"/>
        <v>0.37481751824817516</v>
      </c>
      <c r="G936" s="3">
        <f t="shared" ca="1" si="100"/>
        <v>1.348742903487429</v>
      </c>
      <c r="H936" s="3">
        <f t="shared" ca="1" si="101"/>
        <v>0.73479318734793186</v>
      </c>
      <c r="I936" s="3">
        <f t="shared" ca="1" si="102"/>
        <v>36.250973709834469</v>
      </c>
      <c r="J936" s="3">
        <f t="shared" ca="1" si="103"/>
        <v>10.074195730607336</v>
      </c>
      <c r="K936" s="3">
        <f t="shared" ca="1" si="104"/>
        <v>18.491597682119206</v>
      </c>
    </row>
    <row r="937" spans="3:11" x14ac:dyDescent="0.35">
      <c r="C937" t="str">
        <f t="shared" ca="1" si="98"/>
        <v>3Q2023</v>
      </c>
      <c r="D937" vm="1861">
        <f ca="1"/>
        <v>45302</v>
      </c>
      <c r="E937" vm="1862">
        <f ca="1"/>
        <v>54.822000000000003</v>
      </c>
      <c r="F937" s="3">
        <f t="shared" ca="1" si="99"/>
        <v>0.37481751824817516</v>
      </c>
      <c r="G937" s="3">
        <f t="shared" ca="1" si="100"/>
        <v>1.348742903487429</v>
      </c>
      <c r="H937" s="3">
        <f t="shared" ca="1" si="101"/>
        <v>0.73479318734793186</v>
      </c>
      <c r="I937" s="3">
        <f t="shared" ca="1" si="102"/>
        <v>36.565793573515094</v>
      </c>
      <c r="J937" s="3">
        <f t="shared" ca="1" si="103"/>
        <v>10.161684606133495</v>
      </c>
      <c r="K937" s="3">
        <f t="shared" ca="1" si="104"/>
        <v>18.652187086092717</v>
      </c>
    </row>
    <row r="938" spans="3:11" x14ac:dyDescent="0.35">
      <c r="C938" t="str">
        <f t="shared" ca="1" si="98"/>
        <v>3Q2023</v>
      </c>
      <c r="D938" vm="1863">
        <f ca="1"/>
        <v>45303</v>
      </c>
      <c r="E938" vm="1864">
        <f ca="1"/>
        <v>54.71</v>
      </c>
      <c r="F938" s="3">
        <f t="shared" ca="1" si="99"/>
        <v>0.37481751824817516</v>
      </c>
      <c r="G938" s="3">
        <f t="shared" ca="1" si="100"/>
        <v>1.348742903487429</v>
      </c>
      <c r="H938" s="3">
        <f t="shared" ca="1" si="101"/>
        <v>0.73479318734793186</v>
      </c>
      <c r="I938" s="3">
        <f t="shared" ca="1" si="102"/>
        <v>36.491090555014608</v>
      </c>
      <c r="J938" s="3">
        <f t="shared" ca="1" si="103"/>
        <v>10.140924533974745</v>
      </c>
      <c r="K938" s="3">
        <f t="shared" ca="1" si="104"/>
        <v>18.614081125827816</v>
      </c>
    </row>
    <row r="939" spans="3:11" x14ac:dyDescent="0.35">
      <c r="C939" t="str">
        <f t="shared" ca="1" si="98"/>
        <v>3Q2023</v>
      </c>
      <c r="D939" vm="1865">
        <f ca="1"/>
        <v>45307</v>
      </c>
      <c r="E939" vm="1866">
        <f ca="1"/>
        <v>56.381999999999998</v>
      </c>
      <c r="F939" s="3">
        <f t="shared" ca="1" si="99"/>
        <v>0.37481751824817516</v>
      </c>
      <c r="G939" s="3">
        <f t="shared" ca="1" si="100"/>
        <v>1.348742903487429</v>
      </c>
      <c r="H939" s="3">
        <f t="shared" ca="1" si="101"/>
        <v>0.73479318734793186</v>
      </c>
      <c r="I939" s="3">
        <f t="shared" ca="1" si="102"/>
        <v>37.606299902629019</v>
      </c>
      <c r="J939" s="3">
        <f t="shared" ca="1" si="103"/>
        <v>10.450842754058929</v>
      </c>
      <c r="K939" s="3">
        <f t="shared" ca="1" si="104"/>
        <v>19.182948675496689</v>
      </c>
    </row>
    <row r="940" spans="3:11" x14ac:dyDescent="0.35">
      <c r="C940" t="str">
        <f t="shared" ca="1" si="98"/>
        <v>3Q2023</v>
      </c>
      <c r="D940" vm="1867">
        <f ca="1"/>
        <v>45308</v>
      </c>
      <c r="E940" vm="1868">
        <f ca="1"/>
        <v>56.052999999999997</v>
      </c>
      <c r="F940" s="3">
        <f t="shared" ca="1" si="99"/>
        <v>0.37481751824817516</v>
      </c>
      <c r="G940" s="3">
        <f t="shared" ca="1" si="100"/>
        <v>1.348742903487429</v>
      </c>
      <c r="H940" s="3">
        <f t="shared" ca="1" si="101"/>
        <v>0.73479318734793186</v>
      </c>
      <c r="I940" s="3">
        <f t="shared" ca="1" si="102"/>
        <v>37.386859785783834</v>
      </c>
      <c r="J940" s="3">
        <f t="shared" ca="1" si="103"/>
        <v>10.389860042092604</v>
      </c>
      <c r="K940" s="3">
        <f t="shared" ca="1" si="104"/>
        <v>19.071012417218544</v>
      </c>
    </row>
    <row r="941" spans="3:11" x14ac:dyDescent="0.35">
      <c r="C941" t="str">
        <f t="shared" ca="1" si="98"/>
        <v>3Q2023</v>
      </c>
      <c r="D941" vm="1869">
        <f ca="1"/>
        <v>45309</v>
      </c>
      <c r="E941" vm="1870">
        <f ca="1"/>
        <v>57.106999999999999</v>
      </c>
      <c r="F941" s="3">
        <f t="shared" ca="1" si="99"/>
        <v>0.37481751824817516</v>
      </c>
      <c r="G941" s="3">
        <f t="shared" ca="1" si="100"/>
        <v>1.348742903487429</v>
      </c>
      <c r="H941" s="3">
        <f t="shared" ca="1" si="101"/>
        <v>0.73479318734793186</v>
      </c>
      <c r="I941" s="3">
        <f t="shared" ca="1" si="102"/>
        <v>38.089868549172351</v>
      </c>
      <c r="J941" s="3">
        <f t="shared" ca="1" si="103"/>
        <v>10.585227149729405</v>
      </c>
      <c r="K941" s="3">
        <f t="shared" ca="1" si="104"/>
        <v>19.429616721854305</v>
      </c>
    </row>
    <row r="942" spans="3:11" x14ac:dyDescent="0.35">
      <c r="C942" t="str">
        <f t="shared" ca="1" si="98"/>
        <v>3Q2023</v>
      </c>
      <c r="D942" vm="1871">
        <f ca="1"/>
        <v>45310</v>
      </c>
      <c r="E942" vm="1872">
        <f ca="1"/>
        <v>59.491</v>
      </c>
      <c r="F942" s="3">
        <f t="shared" ca="1" si="99"/>
        <v>0.37481751824817516</v>
      </c>
      <c r="G942" s="3">
        <f t="shared" ca="1" si="100"/>
        <v>1.348742903487429</v>
      </c>
      <c r="H942" s="3">
        <f t="shared" ca="1" si="101"/>
        <v>0.73479318734793186</v>
      </c>
      <c r="I942" s="3">
        <f t="shared" ca="1" si="102"/>
        <v>39.67997565725414</v>
      </c>
      <c r="J942" s="3">
        <f t="shared" ca="1" si="103"/>
        <v>11.027120114251353</v>
      </c>
      <c r="K942" s="3">
        <f t="shared" ca="1" si="104"/>
        <v>20.24072930463576</v>
      </c>
    </row>
    <row r="943" spans="3:11" x14ac:dyDescent="0.35">
      <c r="C943" t="str">
        <f t="shared" ca="1" si="98"/>
        <v>3Q2023</v>
      </c>
      <c r="D943" vm="1873">
        <f ca="1"/>
        <v>45313</v>
      </c>
      <c r="E943" vm="1874">
        <f ca="1"/>
        <v>59.654000000000003</v>
      </c>
      <c r="F943" s="3">
        <f t="shared" ca="1" si="99"/>
        <v>0.37481751824817516</v>
      </c>
      <c r="G943" s="3">
        <f t="shared" ca="1" si="100"/>
        <v>1.348742903487429</v>
      </c>
      <c r="H943" s="3">
        <f t="shared" ca="1" si="101"/>
        <v>0.73479318734793186</v>
      </c>
      <c r="I943" s="3">
        <f t="shared" ca="1" si="102"/>
        <v>39.788695228821815</v>
      </c>
      <c r="J943" s="3">
        <f t="shared" ca="1" si="103"/>
        <v>11.05733343355382</v>
      </c>
      <c r="K943" s="3">
        <f t="shared" ca="1" si="104"/>
        <v>20.296187086092715</v>
      </c>
    </row>
    <row r="944" spans="3:11" x14ac:dyDescent="0.35">
      <c r="C944" t="str">
        <f t="shared" ca="1" si="98"/>
        <v>3Q2023</v>
      </c>
      <c r="D944" vm="1875">
        <f ca="1"/>
        <v>45314</v>
      </c>
      <c r="E944" vm="1876">
        <f ca="1"/>
        <v>59.872999999999998</v>
      </c>
      <c r="F944" s="3">
        <f t="shared" ca="1" si="99"/>
        <v>0.37481751824817516</v>
      </c>
      <c r="G944" s="3">
        <f t="shared" ca="1" si="100"/>
        <v>1.348742903487429</v>
      </c>
      <c r="H944" s="3">
        <f t="shared" ca="1" si="101"/>
        <v>0.73479318734793186</v>
      </c>
      <c r="I944" s="3">
        <f t="shared" ca="1" si="102"/>
        <v>39.934766309639727</v>
      </c>
      <c r="J944" s="3">
        <f t="shared" ca="1" si="103"/>
        <v>11.097926788935659</v>
      </c>
      <c r="K944" s="3">
        <f t="shared" ca="1" si="104"/>
        <v>20.37069784768212</v>
      </c>
    </row>
    <row r="945" spans="3:11" x14ac:dyDescent="0.35">
      <c r="C945" t="str">
        <f t="shared" ca="1" si="98"/>
        <v>3Q2023</v>
      </c>
      <c r="D945" vm="1877">
        <f ca="1"/>
        <v>45315</v>
      </c>
      <c r="E945" vm="1878">
        <f ca="1"/>
        <v>61.362000000000002</v>
      </c>
      <c r="F945" s="3">
        <f t="shared" ca="1" si="99"/>
        <v>0.37481751824817516</v>
      </c>
      <c r="G945" s="3">
        <f t="shared" ca="1" si="100"/>
        <v>1.348742903487429</v>
      </c>
      <c r="H945" s="3">
        <f t="shared" ca="1" si="101"/>
        <v>0.73479318734793186</v>
      </c>
      <c r="I945" s="3">
        <f t="shared" ca="1" si="102"/>
        <v>40.927916260954241</v>
      </c>
      <c r="J945" s="3">
        <f t="shared" ca="1" si="103"/>
        <v>11.373924533974746</v>
      </c>
      <c r="K945" s="3">
        <f t="shared" ca="1" si="104"/>
        <v>20.877302980132452</v>
      </c>
    </row>
    <row r="946" spans="3:11" x14ac:dyDescent="0.35">
      <c r="C946" t="str">
        <f t="shared" ca="1" si="98"/>
        <v>3Q2023</v>
      </c>
      <c r="D946" vm="1879">
        <f ca="1"/>
        <v>45316</v>
      </c>
      <c r="E946" vm="1880">
        <f ca="1"/>
        <v>61.616999999999997</v>
      </c>
      <c r="F946" s="3">
        <f t="shared" ca="1" si="99"/>
        <v>0.37481751824817516</v>
      </c>
      <c r="G946" s="3">
        <f t="shared" ca="1" si="100"/>
        <v>1.348742903487429</v>
      </c>
      <c r="H946" s="3">
        <f t="shared" ca="1" si="101"/>
        <v>0.73479318734793186</v>
      </c>
      <c r="I946" s="3">
        <f t="shared" ca="1" si="102"/>
        <v>41.097999026290168</v>
      </c>
      <c r="J946" s="3">
        <f t="shared" ca="1" si="103"/>
        <v>11.421190769693325</v>
      </c>
      <c r="K946" s="3">
        <f t="shared" ca="1" si="104"/>
        <v>20.964062086092714</v>
      </c>
    </row>
    <row r="947" spans="3:11" x14ac:dyDescent="0.35">
      <c r="C947" t="str">
        <f t="shared" ca="1" si="98"/>
        <v>3Q2023</v>
      </c>
      <c r="D947" vm="1881">
        <f ca="1"/>
        <v>45317</v>
      </c>
      <c r="E947" vm="1882">
        <f ca="1"/>
        <v>61.030999999999999</v>
      </c>
      <c r="F947" s="3">
        <f t="shared" ca="1" si="99"/>
        <v>0.37481751824817516</v>
      </c>
      <c r="G947" s="3">
        <f t="shared" ca="1" si="100"/>
        <v>1.348742903487429</v>
      </c>
      <c r="H947" s="3">
        <f t="shared" ca="1" si="101"/>
        <v>0.73479318734793186</v>
      </c>
      <c r="I947" s="3">
        <f t="shared" ca="1" si="102"/>
        <v>40.707142161635836</v>
      </c>
      <c r="J947" s="3">
        <f t="shared" ca="1" si="103"/>
        <v>11.312571106434156</v>
      </c>
      <c r="K947" s="3">
        <f t="shared" ca="1" si="104"/>
        <v>20.764686258278147</v>
      </c>
    </row>
    <row r="948" spans="3:11" x14ac:dyDescent="0.35">
      <c r="C948" t="str">
        <f t="shared" ca="1" si="98"/>
        <v>4Q2023</v>
      </c>
      <c r="D948" vm="1883">
        <f ca="1"/>
        <v>45320</v>
      </c>
      <c r="E948" vm="1884">
        <f ca="1"/>
        <v>62.465000000000003</v>
      </c>
      <c r="F948" s="3">
        <f t="shared" ca="1" si="99"/>
        <v>0.49862012987012988</v>
      </c>
      <c r="G948" s="3">
        <f t="shared" ca="1" si="100"/>
        <v>1.7443181818181819</v>
      </c>
      <c r="H948" s="3">
        <f t="shared" ca="1" si="101"/>
        <v>0.89703733766233762</v>
      </c>
      <c r="I948" s="3">
        <f t="shared" ca="1" si="102"/>
        <v>31.318932117857724</v>
      </c>
      <c r="J948" s="3">
        <f t="shared" ca="1" si="103"/>
        <v>8.9526384364820846</v>
      </c>
      <c r="K948" s="3">
        <f t="shared" ca="1" si="104"/>
        <v>17.408695652173915</v>
      </c>
    </row>
    <row r="949" spans="3:11" x14ac:dyDescent="0.35">
      <c r="C949" t="str">
        <f t="shared" ca="1" si="98"/>
        <v>4Q2023</v>
      </c>
      <c r="D949" vm="1885">
        <f ca="1"/>
        <v>45321</v>
      </c>
      <c r="E949" vm="1886">
        <f ca="1"/>
        <v>62.774000000000001</v>
      </c>
      <c r="F949" s="3">
        <f t="shared" ca="1" si="99"/>
        <v>0.49862012987012988</v>
      </c>
      <c r="G949" s="3">
        <f t="shared" ca="1" si="100"/>
        <v>1.7443181818181819</v>
      </c>
      <c r="H949" s="3">
        <f t="shared" ca="1" si="101"/>
        <v>0.89703733766233762</v>
      </c>
      <c r="I949" s="3">
        <f t="shared" ca="1" si="102"/>
        <v>31.473859677681915</v>
      </c>
      <c r="J949" s="3">
        <f t="shared" ca="1" si="103"/>
        <v>8.9969250814332238</v>
      </c>
      <c r="K949" s="3">
        <f t="shared" ca="1" si="104"/>
        <v>17.494812468895628</v>
      </c>
    </row>
    <row r="950" spans="3:11" x14ac:dyDescent="0.35">
      <c r="C950" t="str">
        <f t="shared" ca="1" si="98"/>
        <v>4Q2023</v>
      </c>
      <c r="D950" vm="1887">
        <f ca="1"/>
        <v>45322</v>
      </c>
      <c r="E950" vm="1888">
        <f ca="1"/>
        <v>61.527000000000001</v>
      </c>
      <c r="F950" s="3">
        <f t="shared" ca="1" si="99"/>
        <v>0.49862012987012988</v>
      </c>
      <c r="G950" s="3">
        <f t="shared" ca="1" si="100"/>
        <v>1.7443181818181819</v>
      </c>
      <c r="H950" s="3">
        <f t="shared" ca="1" si="101"/>
        <v>0.89703733766233762</v>
      </c>
      <c r="I950" s="3">
        <f t="shared" ca="1" si="102"/>
        <v>30.84863421780889</v>
      </c>
      <c r="J950" s="3">
        <f t="shared" ca="1" si="103"/>
        <v>8.8182019543973933</v>
      </c>
      <c r="K950" s="3">
        <f t="shared" ca="1" si="104"/>
        <v>17.147279554811565</v>
      </c>
    </row>
    <row r="951" spans="3:11" x14ac:dyDescent="0.35">
      <c r="C951" t="str">
        <f t="shared" ca="1" si="98"/>
        <v>4Q2023</v>
      </c>
      <c r="D951" vm="1889">
        <f ca="1"/>
        <v>45323</v>
      </c>
      <c r="E951" vm="1890">
        <f ca="1"/>
        <v>63.027000000000001</v>
      </c>
      <c r="F951" s="3">
        <f t="shared" ca="1" si="99"/>
        <v>0.49862012987012988</v>
      </c>
      <c r="G951" s="3">
        <f t="shared" ca="1" si="100"/>
        <v>1.7443181818181819</v>
      </c>
      <c r="H951" s="3">
        <f t="shared" ca="1" si="101"/>
        <v>0.89703733766233762</v>
      </c>
      <c r="I951" s="3">
        <f t="shared" ca="1" si="102"/>
        <v>31.600709750936023</v>
      </c>
      <c r="J951" s="3">
        <f t="shared" ca="1" si="103"/>
        <v>9.0331856677524431</v>
      </c>
      <c r="K951" s="3">
        <f t="shared" ca="1" si="104"/>
        <v>17.565322354431526</v>
      </c>
    </row>
    <row r="952" spans="3:11" x14ac:dyDescent="0.35">
      <c r="C952" t="str">
        <f t="shared" ca="1" si="98"/>
        <v>4Q2023</v>
      </c>
      <c r="D952" vm="1891">
        <f ca="1"/>
        <v>45324</v>
      </c>
      <c r="E952" vm="1892">
        <f ca="1"/>
        <v>66.16</v>
      </c>
      <c r="F952" s="3">
        <f t="shared" ca="1" si="99"/>
        <v>0.49862012987012988</v>
      </c>
      <c r="G952" s="3">
        <f t="shared" ca="1" si="100"/>
        <v>1.7443181818181819</v>
      </c>
      <c r="H952" s="3">
        <f t="shared" ca="1" si="101"/>
        <v>0.89703733766233762</v>
      </c>
      <c r="I952" s="3">
        <f t="shared" ca="1" si="102"/>
        <v>33.171544847794237</v>
      </c>
      <c r="J952" s="3">
        <f t="shared" ca="1" si="103"/>
        <v>9.4822149837133534</v>
      </c>
      <c r="K952" s="3">
        <f t="shared" ca="1" si="104"/>
        <v>18.438474415237749</v>
      </c>
    </row>
    <row r="953" spans="3:11" x14ac:dyDescent="0.35">
      <c r="C953" t="str">
        <f t="shared" ca="1" si="98"/>
        <v>4Q2023</v>
      </c>
      <c r="D953" vm="1893">
        <f ca="1"/>
        <v>45327</v>
      </c>
      <c r="E953" vm="1894">
        <f ca="1"/>
        <v>69.331999999999994</v>
      </c>
      <c r="F953" s="3">
        <f t="shared" ca="1" si="99"/>
        <v>0.49862012987012988</v>
      </c>
      <c r="G953" s="3">
        <f t="shared" ca="1" si="100"/>
        <v>1.7443181818181819</v>
      </c>
      <c r="H953" s="3">
        <f t="shared" ca="1" si="101"/>
        <v>0.89703733766233762</v>
      </c>
      <c r="I953" s="3">
        <f t="shared" ca="1" si="102"/>
        <v>34.761933908513754</v>
      </c>
      <c r="J953" s="3">
        <f t="shared" ca="1" si="103"/>
        <v>9.9368338762214972</v>
      </c>
      <c r="K953" s="3">
        <f t="shared" ca="1" si="104"/>
        <v>19.322495588834094</v>
      </c>
    </row>
    <row r="954" spans="3:11" x14ac:dyDescent="0.35">
      <c r="C954" t="str">
        <f t="shared" ca="1" si="98"/>
        <v>4Q2023</v>
      </c>
      <c r="D954" vm="1895">
        <f ca="1"/>
        <v>45328</v>
      </c>
      <c r="E954" vm="1896">
        <f ca="1"/>
        <v>68.222999999999999</v>
      </c>
      <c r="F954" s="3">
        <f t="shared" ca="1" si="99"/>
        <v>0.49862012987012988</v>
      </c>
      <c r="G954" s="3">
        <f t="shared" ca="1" si="100"/>
        <v>1.7443181818181819</v>
      </c>
      <c r="H954" s="3">
        <f t="shared" ca="1" si="101"/>
        <v>0.89703733766233762</v>
      </c>
      <c r="I954" s="3">
        <f t="shared" ca="1" si="102"/>
        <v>34.205899397688427</v>
      </c>
      <c r="J954" s="3">
        <f t="shared" ca="1" si="103"/>
        <v>9.7778892508143311</v>
      </c>
      <c r="K954" s="3">
        <f t="shared" ca="1" si="104"/>
        <v>19.013422612315072</v>
      </c>
    </row>
    <row r="955" spans="3:11" x14ac:dyDescent="0.35">
      <c r="C955" t="str">
        <f t="shared" ca="1" si="98"/>
        <v>4Q2023</v>
      </c>
      <c r="D955" vm="1897">
        <f ca="1"/>
        <v>45329</v>
      </c>
      <c r="E955" vm="1898">
        <f ca="1"/>
        <v>70.099000000000004</v>
      </c>
      <c r="F955" s="3">
        <f t="shared" ca="1" si="99"/>
        <v>0.49862012987012988</v>
      </c>
      <c r="G955" s="3">
        <f t="shared" ca="1" si="100"/>
        <v>1.7443181818181819</v>
      </c>
      <c r="H955" s="3">
        <f t="shared" ca="1" si="101"/>
        <v>0.89703733766233762</v>
      </c>
      <c r="I955" s="3">
        <f t="shared" ca="1" si="102"/>
        <v>35.146495197786102</v>
      </c>
      <c r="J955" s="3">
        <f t="shared" ca="1" si="103"/>
        <v>10.046762214983714</v>
      </c>
      <c r="K955" s="3">
        <f t="shared" ca="1" si="104"/>
        <v>19.536254807039771</v>
      </c>
    </row>
    <row r="956" spans="3:11" x14ac:dyDescent="0.35">
      <c r="C956" t="str">
        <f t="shared" ca="1" si="98"/>
        <v>4Q2023</v>
      </c>
      <c r="D956" vm="1899">
        <f ca="1"/>
        <v>45330</v>
      </c>
      <c r="E956" vm="1900">
        <f ca="1"/>
        <v>69.641000000000005</v>
      </c>
      <c r="F956" s="3">
        <f t="shared" ca="1" si="99"/>
        <v>0.49862012987012988</v>
      </c>
      <c r="G956" s="3">
        <f t="shared" ca="1" si="100"/>
        <v>1.7443181818181819</v>
      </c>
      <c r="H956" s="3">
        <f t="shared" ca="1" si="101"/>
        <v>0.89703733766233762</v>
      </c>
      <c r="I956" s="3">
        <f t="shared" ca="1" si="102"/>
        <v>34.916861468337949</v>
      </c>
      <c r="J956" s="3">
        <f t="shared" ca="1" si="103"/>
        <v>9.9811205211726381</v>
      </c>
      <c r="K956" s="3">
        <f t="shared" ca="1" si="104"/>
        <v>19.408612405555811</v>
      </c>
    </row>
    <row r="957" spans="3:11" x14ac:dyDescent="0.35">
      <c r="C957" t="str">
        <f t="shared" ca="1" si="98"/>
        <v>4Q2023</v>
      </c>
      <c r="D957" vm="1901">
        <f ca="1"/>
        <v>45331</v>
      </c>
      <c r="E957" vm="1902">
        <f ca="1"/>
        <v>72.132999999999996</v>
      </c>
      <c r="F957" s="3">
        <f t="shared" ca="1" si="99"/>
        <v>0.49862012987012988</v>
      </c>
      <c r="G957" s="3">
        <f t="shared" ca="1" si="100"/>
        <v>1.7443181818181819</v>
      </c>
      <c r="H957" s="3">
        <f t="shared" ca="1" si="101"/>
        <v>0.89703733766233762</v>
      </c>
      <c r="I957" s="3">
        <f t="shared" ca="1" si="102"/>
        <v>36.166309620706492</v>
      </c>
      <c r="J957" s="3">
        <f t="shared" ca="1" si="103"/>
        <v>10.338280130293159</v>
      </c>
      <c r="K957" s="3">
        <f t="shared" ca="1" si="104"/>
        <v>20.103120843324437</v>
      </c>
    </row>
    <row r="958" spans="3:11" x14ac:dyDescent="0.35">
      <c r="C958" t="str">
        <f t="shared" ca="1" si="98"/>
        <v>4Q2023</v>
      </c>
      <c r="D958" vm="1903">
        <f ca="1"/>
        <v>45334</v>
      </c>
      <c r="E958" vm="1904">
        <f ca="1"/>
        <v>72.248000000000005</v>
      </c>
      <c r="F958" s="3">
        <f t="shared" ca="1" si="99"/>
        <v>0.49862012987012988</v>
      </c>
      <c r="G958" s="3">
        <f t="shared" ca="1" si="100"/>
        <v>1.7443181818181819</v>
      </c>
      <c r="H958" s="3">
        <f t="shared" ca="1" si="101"/>
        <v>0.89703733766233762</v>
      </c>
      <c r="I958" s="3">
        <f t="shared" ca="1" si="102"/>
        <v>36.223968744912909</v>
      </c>
      <c r="J958" s="3">
        <f t="shared" ca="1" si="103"/>
        <v>10.354762214983714</v>
      </c>
      <c r="K958" s="3">
        <f t="shared" ca="1" si="104"/>
        <v>20.135170791295302</v>
      </c>
    </row>
    <row r="959" spans="3:11" x14ac:dyDescent="0.35">
      <c r="C959" t="str">
        <f t="shared" ca="1" si="98"/>
        <v>4Q2023</v>
      </c>
      <c r="D959" vm="1905">
        <f ca="1"/>
        <v>45335</v>
      </c>
      <c r="E959" vm="1906">
        <f ca="1"/>
        <v>72.128</v>
      </c>
      <c r="F959" s="3">
        <f t="shared" ca="1" si="99"/>
        <v>0.49862012987012988</v>
      </c>
      <c r="G959" s="3">
        <f t="shared" ca="1" si="100"/>
        <v>1.7443181818181819</v>
      </c>
      <c r="H959" s="3">
        <f t="shared" ca="1" si="101"/>
        <v>0.89703733766233762</v>
      </c>
      <c r="I959" s="3">
        <f t="shared" ca="1" si="102"/>
        <v>36.163802702262736</v>
      </c>
      <c r="J959" s="3">
        <f t="shared" ca="1" si="103"/>
        <v>10.337563517915308</v>
      </c>
      <c r="K959" s="3">
        <f t="shared" ca="1" si="104"/>
        <v>20.101727367325704</v>
      </c>
    </row>
    <row r="960" spans="3:11" x14ac:dyDescent="0.35">
      <c r="C960" t="str">
        <f t="shared" ca="1" si="98"/>
        <v>4Q2023</v>
      </c>
      <c r="D960" vm="1907">
        <f ca="1"/>
        <v>45336</v>
      </c>
      <c r="E960" vm="1908">
        <f ca="1"/>
        <v>73.900000000000006</v>
      </c>
      <c r="F960" s="3">
        <f t="shared" ca="1" si="99"/>
        <v>0.49862012987012988</v>
      </c>
      <c r="G960" s="3">
        <f t="shared" ca="1" si="100"/>
        <v>1.7443181818181819</v>
      </c>
      <c r="H960" s="3">
        <f t="shared" ca="1" si="101"/>
        <v>0.89703733766233762</v>
      </c>
      <c r="I960" s="3">
        <f t="shared" ca="1" si="102"/>
        <v>37.052254598730265</v>
      </c>
      <c r="J960" s="3">
        <f t="shared" ca="1" si="103"/>
        <v>10.591530944625408</v>
      </c>
      <c r="K960" s="3">
        <f t="shared" ca="1" si="104"/>
        <v>20.595575261276753</v>
      </c>
    </row>
    <row r="961" spans="3:11" x14ac:dyDescent="0.35">
      <c r="C961" t="str">
        <f t="shared" ca="1" si="98"/>
        <v>4Q2023</v>
      </c>
      <c r="D961" vm="1909">
        <f ca="1"/>
        <v>45337</v>
      </c>
      <c r="E961" vm="1910">
        <f ca="1"/>
        <v>72.658000000000001</v>
      </c>
      <c r="F961" s="3">
        <f t="shared" ca="1" si="99"/>
        <v>0.49862012987012988</v>
      </c>
      <c r="G961" s="3">
        <f t="shared" ca="1" si="100"/>
        <v>1.7443181818181819</v>
      </c>
      <c r="H961" s="3">
        <f t="shared" ca="1" si="101"/>
        <v>0.89703733766233762</v>
      </c>
      <c r="I961" s="3">
        <f t="shared" ca="1" si="102"/>
        <v>36.429536057300993</v>
      </c>
      <c r="J961" s="3">
        <f t="shared" ca="1" si="103"/>
        <v>10.413524429967426</v>
      </c>
      <c r="K961" s="3">
        <f t="shared" ca="1" si="104"/>
        <v>20.249435823191423</v>
      </c>
    </row>
    <row r="962" spans="3:11" x14ac:dyDescent="0.35">
      <c r="C962" t="str">
        <f t="shared" ca="1" si="98"/>
        <v>4Q2023</v>
      </c>
      <c r="D962" vm="1911">
        <f ca="1"/>
        <v>45338</v>
      </c>
      <c r="E962" vm="1912">
        <f ca="1"/>
        <v>72.613</v>
      </c>
      <c r="F962" s="3">
        <f t="shared" ca="1" si="99"/>
        <v>0.49862012987012988</v>
      </c>
      <c r="G962" s="3">
        <f t="shared" ca="1" si="100"/>
        <v>1.7443181818181819</v>
      </c>
      <c r="H962" s="3">
        <f t="shared" ca="1" si="101"/>
        <v>0.89703733766233762</v>
      </c>
      <c r="I962" s="3">
        <f t="shared" ca="1" si="102"/>
        <v>36.40697379130718</v>
      </c>
      <c r="J962" s="3">
        <f t="shared" ca="1" si="103"/>
        <v>10.407074918566774</v>
      </c>
      <c r="K962" s="3">
        <f t="shared" ca="1" si="104"/>
        <v>20.236894539202822</v>
      </c>
    </row>
    <row r="963" spans="3:11" x14ac:dyDescent="0.35">
      <c r="C963" t="str">
        <f t="shared" ref="C963:C1026" ca="1" si="105">LOOKUP(D963,$N$2:$N$27,$M$2:$M$27)</f>
        <v>4Q2023</v>
      </c>
      <c r="D963" vm="1913">
        <f ca="1"/>
        <v>45342</v>
      </c>
      <c r="E963" vm="1914">
        <f ca="1"/>
        <v>69.451999999999998</v>
      </c>
      <c r="F963" s="3">
        <f t="shared" ca="1" si="99"/>
        <v>0.49862012987012988</v>
      </c>
      <c r="G963" s="3">
        <f t="shared" ca="1" si="100"/>
        <v>1.7443181818181819</v>
      </c>
      <c r="H963" s="3">
        <f t="shared" ca="1" si="101"/>
        <v>0.89703733766233762</v>
      </c>
      <c r="I963" s="3">
        <f t="shared" ca="1" si="102"/>
        <v>34.822099951163928</v>
      </c>
      <c r="J963" s="3">
        <f t="shared" ca="1" si="103"/>
        <v>9.9540325732899024</v>
      </c>
      <c r="K963" s="3">
        <f t="shared" ca="1" si="104"/>
        <v>19.355939012803692</v>
      </c>
    </row>
    <row r="964" spans="3:11" x14ac:dyDescent="0.35">
      <c r="C964" t="str">
        <f t="shared" ca="1" si="105"/>
        <v>4Q2023</v>
      </c>
      <c r="D964" vm="1915">
        <f ca="1"/>
        <v>45343</v>
      </c>
      <c r="E964" vm="1916">
        <f ca="1"/>
        <v>67.471999999999994</v>
      </c>
      <c r="F964" s="3">
        <f t="shared" ref="F964:F1027" ca="1" si="106">VLOOKUP($C964,$M$2:$R$27,4,0)/VLOOKUP($C964,$M$2:$R$27,3,0)</f>
        <v>0.49862012987012988</v>
      </c>
      <c r="G964" s="3">
        <f t="shared" ref="G964:G1027" ca="1" si="107">VLOOKUP($C964,$M$2:$R$27,6,0)/VLOOKUP($C964,$M$2:$R$27,3,0)</f>
        <v>1.7443181818181819</v>
      </c>
      <c r="H964" s="3">
        <f t="shared" ref="H964:H1027" ca="1" si="108">VLOOKUP($C964,$M$2:$R$27,5,0)/VLOOKUP($C964,$M$2:$R$27,3,0)</f>
        <v>0.89703733766233762</v>
      </c>
      <c r="I964" s="3">
        <f t="shared" ref="I964:I1027" ca="1" si="109">$E964/(F964*4)</f>
        <v>33.829360247436099</v>
      </c>
      <c r="J964" s="3">
        <f t="shared" ref="J964:J1027" ca="1" si="110">$E964/(G964*4)</f>
        <v>9.6702540716612368</v>
      </c>
      <c r="K964" s="3">
        <f t="shared" ref="K964:K1027" ca="1" si="111">$E964/(H964*4)</f>
        <v>18.804122517305341</v>
      </c>
    </row>
    <row r="965" spans="3:11" x14ac:dyDescent="0.35">
      <c r="C965" t="str">
        <f t="shared" ca="1" si="105"/>
        <v>4Q2023</v>
      </c>
      <c r="D965" vm="1917">
        <f ca="1"/>
        <v>45344</v>
      </c>
      <c r="E965" vm="1918">
        <f ca="1"/>
        <v>78.537999999999997</v>
      </c>
      <c r="F965" s="3">
        <f t="shared" ca="1" si="106"/>
        <v>0.49862012987012988</v>
      </c>
      <c r="G965" s="3">
        <f t="shared" ca="1" si="107"/>
        <v>1.7443181818181819</v>
      </c>
      <c r="H965" s="3">
        <f t="shared" ca="1" si="108"/>
        <v>0.89703733766233762</v>
      </c>
      <c r="I965" s="3">
        <f t="shared" ca="1" si="109"/>
        <v>39.377672147159366</v>
      </c>
      <c r="J965" s="3">
        <f t="shared" ca="1" si="110"/>
        <v>11.256260586319218</v>
      </c>
      <c r="K965" s="3">
        <f t="shared" ca="1" si="111"/>
        <v>21.88816359770167</v>
      </c>
    </row>
    <row r="966" spans="3:11" x14ac:dyDescent="0.35">
      <c r="C966" t="str">
        <f t="shared" ca="1" si="105"/>
        <v>4Q2023</v>
      </c>
      <c r="D966" vm="1919">
        <f ca="1"/>
        <v>45345</v>
      </c>
      <c r="E966" vm="1920">
        <f ca="1"/>
        <v>78.816999999999993</v>
      </c>
      <c r="F966" s="3">
        <f t="shared" ca="1" si="106"/>
        <v>0.49862012987012988</v>
      </c>
      <c r="G966" s="3">
        <f t="shared" ca="1" si="107"/>
        <v>1.7443181818181819</v>
      </c>
      <c r="H966" s="3">
        <f t="shared" ca="1" si="108"/>
        <v>0.89703733766233762</v>
      </c>
      <c r="I966" s="3">
        <f t="shared" ca="1" si="109"/>
        <v>39.517558196321012</v>
      </c>
      <c r="J966" s="3">
        <f t="shared" ca="1" si="110"/>
        <v>11.296247557003255</v>
      </c>
      <c r="K966" s="3">
        <f t="shared" ca="1" si="111"/>
        <v>21.965919558430983</v>
      </c>
    </row>
    <row r="967" spans="3:11" x14ac:dyDescent="0.35">
      <c r="C967" t="str">
        <f t="shared" ca="1" si="105"/>
        <v>4Q2023</v>
      </c>
      <c r="D967" vm="1921">
        <f ca="1"/>
        <v>45348</v>
      </c>
      <c r="E967" vm="1922">
        <f ca="1"/>
        <v>79.091999999999999</v>
      </c>
      <c r="F967" s="3">
        <f t="shared" ca="1" si="106"/>
        <v>0.49862012987012988</v>
      </c>
      <c r="G967" s="3">
        <f t="shared" ca="1" si="107"/>
        <v>1.7443181818181819</v>
      </c>
      <c r="H967" s="3">
        <f t="shared" ca="1" si="108"/>
        <v>0.89703733766233762</v>
      </c>
      <c r="I967" s="3">
        <f t="shared" ca="1" si="109"/>
        <v>39.655438710727658</v>
      </c>
      <c r="J967" s="3">
        <f t="shared" ca="1" si="110"/>
        <v>11.335661237785017</v>
      </c>
      <c r="K967" s="3">
        <f t="shared" ca="1" si="111"/>
        <v>22.04256073836131</v>
      </c>
    </row>
    <row r="968" spans="3:11" x14ac:dyDescent="0.35">
      <c r="C968" t="str">
        <f t="shared" ca="1" si="105"/>
        <v>4Q2023</v>
      </c>
      <c r="D968" vm="1923">
        <f ca="1"/>
        <v>45349</v>
      </c>
      <c r="E968" vm="1924">
        <f ca="1"/>
        <v>78.700999999999993</v>
      </c>
      <c r="F968" s="3">
        <f t="shared" ca="1" si="106"/>
        <v>0.49862012987012988</v>
      </c>
      <c r="G968" s="3">
        <f t="shared" ca="1" si="107"/>
        <v>1.7443181818181819</v>
      </c>
      <c r="H968" s="3">
        <f t="shared" ca="1" si="108"/>
        <v>0.89703733766233762</v>
      </c>
      <c r="I968" s="3">
        <f t="shared" ca="1" si="109"/>
        <v>39.459397688425845</v>
      </c>
      <c r="J968" s="3">
        <f t="shared" ca="1" si="110"/>
        <v>11.279622149837133</v>
      </c>
      <c r="K968" s="3">
        <f t="shared" ca="1" si="111"/>
        <v>21.933590915260371</v>
      </c>
    </row>
    <row r="969" spans="3:11" x14ac:dyDescent="0.35">
      <c r="C969" t="str">
        <f t="shared" ca="1" si="105"/>
        <v>4Q2023</v>
      </c>
      <c r="D969" vm="1925">
        <f ca="1"/>
        <v>45350</v>
      </c>
      <c r="E969" vm="1926">
        <f ca="1"/>
        <v>77.662999999999997</v>
      </c>
      <c r="F969" s="3">
        <f t="shared" ca="1" si="106"/>
        <v>0.49862012987012988</v>
      </c>
      <c r="G969" s="3">
        <f t="shared" ca="1" si="107"/>
        <v>1.7443181818181819</v>
      </c>
      <c r="H969" s="3">
        <f t="shared" ca="1" si="108"/>
        <v>0.89703733766233762</v>
      </c>
      <c r="I969" s="3">
        <f t="shared" ca="1" si="109"/>
        <v>38.938961419501872</v>
      </c>
      <c r="J969" s="3">
        <f t="shared" ca="1" si="110"/>
        <v>11.130853420195439</v>
      </c>
      <c r="K969" s="3">
        <f t="shared" ca="1" si="111"/>
        <v>21.64430529792336</v>
      </c>
    </row>
    <row r="970" spans="3:11" x14ac:dyDescent="0.35">
      <c r="C970" t="str">
        <f t="shared" ca="1" si="105"/>
        <v>4Q2023</v>
      </c>
      <c r="D970" vm="1927">
        <f ca="1"/>
        <v>45351</v>
      </c>
      <c r="E970" vm="1928">
        <f ca="1"/>
        <v>79.111999999999995</v>
      </c>
      <c r="F970" s="3">
        <f t="shared" ca="1" si="106"/>
        <v>0.49862012987012988</v>
      </c>
      <c r="G970" s="3">
        <f t="shared" ca="1" si="107"/>
        <v>1.7443181818181819</v>
      </c>
      <c r="H970" s="3">
        <f t="shared" ca="1" si="108"/>
        <v>0.89703733766233762</v>
      </c>
      <c r="I970" s="3">
        <f t="shared" ca="1" si="109"/>
        <v>39.665466384502686</v>
      </c>
      <c r="J970" s="3">
        <f t="shared" ca="1" si="110"/>
        <v>11.338527687296416</v>
      </c>
      <c r="K970" s="3">
        <f t="shared" ca="1" si="111"/>
        <v>22.048134642356242</v>
      </c>
    </row>
    <row r="971" spans="3:11" x14ac:dyDescent="0.35">
      <c r="C971" t="str">
        <f t="shared" ca="1" si="105"/>
        <v>4Q2023</v>
      </c>
      <c r="D971" vm="1929">
        <f ca="1"/>
        <v>45352</v>
      </c>
      <c r="E971" vm="1930">
        <f ca="1"/>
        <v>82.278999999999996</v>
      </c>
      <c r="F971" s="3">
        <f t="shared" ca="1" si="106"/>
        <v>0.49862012987012988</v>
      </c>
      <c r="G971" s="3">
        <f t="shared" ca="1" si="107"/>
        <v>1.7443181818181819</v>
      </c>
      <c r="H971" s="3">
        <f t="shared" ca="1" si="108"/>
        <v>0.89703733766233762</v>
      </c>
      <c r="I971" s="3">
        <f t="shared" ca="1" si="109"/>
        <v>41.253348526778446</v>
      </c>
      <c r="J971" s="3">
        <f t="shared" ca="1" si="110"/>
        <v>11.79242996742671</v>
      </c>
      <c r="K971" s="3">
        <f t="shared" ca="1" si="111"/>
        <v>22.930762339953851</v>
      </c>
    </row>
    <row r="972" spans="3:11" x14ac:dyDescent="0.35">
      <c r="C972" t="str">
        <f t="shared" ca="1" si="105"/>
        <v>4Q2023</v>
      </c>
      <c r="D972" vm="1931">
        <f ca="1"/>
        <v>45355</v>
      </c>
      <c r="E972" vm="1932">
        <f ca="1"/>
        <v>85.236999999999995</v>
      </c>
      <c r="F972" s="3">
        <f t="shared" ca="1" si="106"/>
        <v>0.49862012987012988</v>
      </c>
      <c r="G972" s="3">
        <f t="shared" ca="1" si="107"/>
        <v>1.7443181818181819</v>
      </c>
      <c r="H972" s="3">
        <f t="shared" ca="1" si="108"/>
        <v>0.89703733766233762</v>
      </c>
      <c r="I972" s="3">
        <f t="shared" ca="1" si="109"/>
        <v>42.736441478105156</v>
      </c>
      <c r="J972" s="3">
        <f t="shared" ca="1" si="110"/>
        <v>12.216377850162866</v>
      </c>
      <c r="K972" s="3">
        <f t="shared" ca="1" si="111"/>
        <v>23.755142740804416</v>
      </c>
    </row>
    <row r="973" spans="3:11" x14ac:dyDescent="0.35">
      <c r="C973" t="str">
        <f t="shared" ca="1" si="105"/>
        <v>4Q2023</v>
      </c>
      <c r="D973" vm="1933">
        <f ca="1"/>
        <v>45356</v>
      </c>
      <c r="E973" vm="1934">
        <f ca="1"/>
        <v>85.963999999999999</v>
      </c>
      <c r="F973" s="3">
        <f t="shared" ca="1" si="106"/>
        <v>0.49862012987012988</v>
      </c>
      <c r="G973" s="3">
        <f t="shared" ca="1" si="107"/>
        <v>1.7443181818181819</v>
      </c>
      <c r="H973" s="3">
        <f t="shared" ca="1" si="108"/>
        <v>0.89703733766233762</v>
      </c>
      <c r="I973" s="3">
        <f t="shared" ca="1" si="109"/>
        <v>43.100947419827442</v>
      </c>
      <c r="J973" s="3">
        <f t="shared" ca="1" si="110"/>
        <v>12.32057328990228</v>
      </c>
      <c r="K973" s="3">
        <f t="shared" ca="1" si="111"/>
        <v>23.957754151020225</v>
      </c>
    </row>
    <row r="974" spans="3:11" x14ac:dyDescent="0.35">
      <c r="C974" t="str">
        <f t="shared" ca="1" si="105"/>
        <v>4Q2023</v>
      </c>
      <c r="D974" vm="1935">
        <f ca="1"/>
        <v>45357</v>
      </c>
      <c r="E974" vm="1936">
        <f ca="1"/>
        <v>88.7</v>
      </c>
      <c r="F974" s="3">
        <f t="shared" ca="1" si="106"/>
        <v>0.49862012987012988</v>
      </c>
      <c r="G974" s="3">
        <f t="shared" ca="1" si="107"/>
        <v>1.7443181818181819</v>
      </c>
      <c r="H974" s="3">
        <f t="shared" ca="1" si="108"/>
        <v>0.89703733766233762</v>
      </c>
      <c r="I974" s="3">
        <f t="shared" ca="1" si="109"/>
        <v>44.47273319225134</v>
      </c>
      <c r="J974" s="3">
        <f t="shared" ca="1" si="110"/>
        <v>12.71270358306189</v>
      </c>
      <c r="K974" s="3">
        <f t="shared" ca="1" si="111"/>
        <v>24.720264217527035</v>
      </c>
    </row>
    <row r="975" spans="3:11" x14ac:dyDescent="0.35">
      <c r="C975" t="str">
        <f t="shared" ca="1" si="105"/>
        <v>4Q2023</v>
      </c>
      <c r="D975" vm="1937">
        <f ca="1"/>
        <v>45358</v>
      </c>
      <c r="E975" vm="1938">
        <f ca="1"/>
        <v>92.668999999999997</v>
      </c>
      <c r="F975" s="3">
        <f t="shared" ca="1" si="106"/>
        <v>0.49862012987012988</v>
      </c>
      <c r="G975" s="3">
        <f t="shared" ca="1" si="107"/>
        <v>1.7443181818181819</v>
      </c>
      <c r="H975" s="3">
        <f t="shared" ca="1" si="108"/>
        <v>0.89703733766233762</v>
      </c>
      <c r="I975" s="3">
        <f t="shared" ca="1" si="109"/>
        <v>46.462725052905746</v>
      </c>
      <c r="J975" s="3">
        <f t="shared" ca="1" si="110"/>
        <v>13.281550488599347</v>
      </c>
      <c r="K975" s="3">
        <f t="shared" ca="1" si="111"/>
        <v>25.82640546532145</v>
      </c>
    </row>
    <row r="976" spans="3:11" x14ac:dyDescent="0.35">
      <c r="C976" t="str">
        <f t="shared" ca="1" si="105"/>
        <v>4Q2023</v>
      </c>
      <c r="D976" vm="1939">
        <f ca="1"/>
        <v>45359</v>
      </c>
      <c r="E976" vm="1940">
        <f ca="1"/>
        <v>87.528000000000006</v>
      </c>
      <c r="F976" s="3">
        <f t="shared" ca="1" si="106"/>
        <v>0.49862012987012988</v>
      </c>
      <c r="G976" s="3">
        <f t="shared" ca="1" si="107"/>
        <v>1.7443181818181819</v>
      </c>
      <c r="H976" s="3">
        <f t="shared" ca="1" si="108"/>
        <v>0.89703733766233762</v>
      </c>
      <c r="I976" s="3">
        <f t="shared" ca="1" si="109"/>
        <v>43.885111509034672</v>
      </c>
      <c r="J976" s="3">
        <f t="shared" ca="1" si="110"/>
        <v>12.544729641693811</v>
      </c>
      <c r="K976" s="3">
        <f t="shared" ca="1" si="111"/>
        <v>24.393633443423973</v>
      </c>
    </row>
    <row r="977" spans="3:11" x14ac:dyDescent="0.35">
      <c r="C977" t="str">
        <f t="shared" ca="1" si="105"/>
        <v>4Q2023</v>
      </c>
      <c r="D977" vm="1941">
        <f ca="1"/>
        <v>45362</v>
      </c>
      <c r="E977" vm="1942">
        <f ca="1"/>
        <v>85.774000000000001</v>
      </c>
      <c r="F977" s="3">
        <f t="shared" ca="1" si="106"/>
        <v>0.49862012987012988</v>
      </c>
      <c r="G977" s="3">
        <f t="shared" ca="1" si="107"/>
        <v>1.7443181818181819</v>
      </c>
      <c r="H977" s="3">
        <f t="shared" ca="1" si="108"/>
        <v>0.89703733766233762</v>
      </c>
      <c r="I977" s="3">
        <f t="shared" ca="1" si="109"/>
        <v>43.005684518964678</v>
      </c>
      <c r="J977" s="3">
        <f t="shared" ca="1" si="110"/>
        <v>12.293342019543974</v>
      </c>
      <c r="K977" s="3">
        <f t="shared" ca="1" si="111"/>
        <v>23.904802063068363</v>
      </c>
    </row>
    <row r="978" spans="3:11" x14ac:dyDescent="0.35">
      <c r="C978" t="str">
        <f t="shared" ca="1" si="105"/>
        <v>4Q2023</v>
      </c>
      <c r="D978" vm="1943">
        <f ca="1"/>
        <v>45363</v>
      </c>
      <c r="E978" vm="1944">
        <f ca="1"/>
        <v>91.912999999999997</v>
      </c>
      <c r="F978" s="3">
        <f t="shared" ca="1" si="106"/>
        <v>0.49862012987012988</v>
      </c>
      <c r="G978" s="3">
        <f t="shared" ca="1" si="107"/>
        <v>1.7443181818181819</v>
      </c>
      <c r="H978" s="3">
        <f t="shared" ca="1" si="108"/>
        <v>0.89703733766233762</v>
      </c>
      <c r="I978" s="3">
        <f t="shared" ca="1" si="109"/>
        <v>46.083678984209669</v>
      </c>
      <c r="J978" s="3">
        <f t="shared" ca="1" si="110"/>
        <v>13.173198697068402</v>
      </c>
      <c r="K978" s="3">
        <f t="shared" ca="1" si="111"/>
        <v>25.615711894312991</v>
      </c>
    </row>
    <row r="979" spans="3:11" x14ac:dyDescent="0.35">
      <c r="C979" t="str">
        <f t="shared" ca="1" si="105"/>
        <v>4Q2023</v>
      </c>
      <c r="D979" vm="1945">
        <f ca="1"/>
        <v>45364</v>
      </c>
      <c r="E979" vm="1946">
        <f ca="1"/>
        <v>90.888000000000005</v>
      </c>
      <c r="F979" s="3">
        <f t="shared" ca="1" si="106"/>
        <v>0.49862012987012988</v>
      </c>
      <c r="G979" s="3">
        <f t="shared" ca="1" si="107"/>
        <v>1.7443181818181819</v>
      </c>
      <c r="H979" s="3">
        <f t="shared" ca="1" si="108"/>
        <v>0.89703733766233762</v>
      </c>
      <c r="I979" s="3">
        <f t="shared" ca="1" si="109"/>
        <v>45.56976070323946</v>
      </c>
      <c r="J979" s="3">
        <f t="shared" ca="1" si="110"/>
        <v>13.026293159609121</v>
      </c>
      <c r="K979" s="3">
        <f t="shared" ca="1" si="111"/>
        <v>25.330049314572687</v>
      </c>
    </row>
    <row r="980" spans="3:11" x14ac:dyDescent="0.35">
      <c r="C980" t="str">
        <f t="shared" ca="1" si="105"/>
        <v>4Q2023</v>
      </c>
      <c r="D980" vm="1947">
        <f ca="1"/>
        <v>45365</v>
      </c>
      <c r="E980" vm="1948">
        <f ca="1"/>
        <v>87.944000000000003</v>
      </c>
      <c r="F980" s="3">
        <f t="shared" ca="1" si="106"/>
        <v>0.49862012987012988</v>
      </c>
      <c r="G980" s="3">
        <f t="shared" ca="1" si="107"/>
        <v>1.7443181818181819</v>
      </c>
      <c r="H980" s="3">
        <f t="shared" ca="1" si="108"/>
        <v>0.89703733766233762</v>
      </c>
      <c r="I980" s="3">
        <f t="shared" ca="1" si="109"/>
        <v>44.09368712355527</v>
      </c>
      <c r="J980" s="3">
        <f t="shared" ca="1" si="110"/>
        <v>12.604351791530945</v>
      </c>
      <c r="K980" s="3">
        <f t="shared" ca="1" si="111"/>
        <v>24.509570646518576</v>
      </c>
    </row>
    <row r="981" spans="3:11" x14ac:dyDescent="0.35">
      <c r="C981" t="str">
        <f t="shared" ca="1" si="105"/>
        <v>4Q2023</v>
      </c>
      <c r="D981" vm="1949">
        <f ca="1"/>
        <v>45366</v>
      </c>
      <c r="E981" vm="1950">
        <f ca="1"/>
        <v>87.836500000000001</v>
      </c>
      <c r="F981" s="3">
        <f t="shared" ca="1" si="106"/>
        <v>0.49862012987012988</v>
      </c>
      <c r="G981" s="3">
        <f t="shared" ca="1" si="107"/>
        <v>1.7443181818181819</v>
      </c>
      <c r="H981" s="3">
        <f t="shared" ca="1" si="108"/>
        <v>0.89703733766233762</v>
      </c>
      <c r="I981" s="3">
        <f t="shared" ca="1" si="109"/>
        <v>44.039788377014489</v>
      </c>
      <c r="J981" s="3">
        <f t="shared" ca="1" si="110"/>
        <v>12.588944625407166</v>
      </c>
      <c r="K981" s="3">
        <f t="shared" ca="1" si="111"/>
        <v>24.479610912545809</v>
      </c>
    </row>
    <row r="982" spans="3:11" x14ac:dyDescent="0.35">
      <c r="C982" t="str">
        <f t="shared" ca="1" si="105"/>
        <v>4Q2023</v>
      </c>
      <c r="D982" vm="1951">
        <f ca="1"/>
        <v>45369</v>
      </c>
      <c r="E982" vm="1952">
        <f ca="1"/>
        <v>88.454999999999998</v>
      </c>
      <c r="F982" s="3">
        <f t="shared" ca="1" si="106"/>
        <v>0.49862012987012988</v>
      </c>
      <c r="G982" s="3">
        <f t="shared" ca="1" si="107"/>
        <v>1.7443181818181819</v>
      </c>
      <c r="H982" s="3">
        <f t="shared" ca="1" si="108"/>
        <v>0.89703733766233762</v>
      </c>
      <c r="I982" s="3">
        <f t="shared" ca="1" si="109"/>
        <v>44.349894188507243</v>
      </c>
      <c r="J982" s="3">
        <f t="shared" ca="1" si="110"/>
        <v>12.677589576547231</v>
      </c>
      <c r="K982" s="3">
        <f t="shared" ca="1" si="111"/>
        <v>24.651983893589108</v>
      </c>
    </row>
    <row r="983" spans="3:11" x14ac:dyDescent="0.35">
      <c r="C983" t="str">
        <f t="shared" ca="1" si="105"/>
        <v>4Q2023</v>
      </c>
      <c r="D983" vm="1953">
        <f ca="1"/>
        <v>45370</v>
      </c>
      <c r="E983" vm="1954">
        <f ca="1"/>
        <v>89.397999999999996</v>
      </c>
      <c r="F983" s="3">
        <f t="shared" ca="1" si="106"/>
        <v>0.49862012987012988</v>
      </c>
      <c r="G983" s="3">
        <f t="shared" ca="1" si="107"/>
        <v>1.7443181818181819</v>
      </c>
      <c r="H983" s="3">
        <f t="shared" ca="1" si="108"/>
        <v>0.89703733766233762</v>
      </c>
      <c r="I983" s="3">
        <f t="shared" ca="1" si="109"/>
        <v>44.822699006999834</v>
      </c>
      <c r="J983" s="3">
        <f t="shared" ca="1" si="110"/>
        <v>12.81274267100977</v>
      </c>
      <c r="K983" s="3">
        <f t="shared" ca="1" si="111"/>
        <v>24.914793466950186</v>
      </c>
    </row>
    <row r="984" spans="3:11" x14ac:dyDescent="0.35">
      <c r="C984" t="str">
        <f t="shared" ca="1" si="105"/>
        <v>4Q2023</v>
      </c>
      <c r="D984" vm="1955">
        <f ca="1"/>
        <v>45371</v>
      </c>
      <c r="E984" vm="1956">
        <f ca="1"/>
        <v>90.372</v>
      </c>
      <c r="F984" s="3">
        <f t="shared" ca="1" si="106"/>
        <v>0.49862012987012988</v>
      </c>
      <c r="G984" s="3">
        <f t="shared" ca="1" si="107"/>
        <v>1.7443181818181819</v>
      </c>
      <c r="H984" s="3">
        <f t="shared" ca="1" si="108"/>
        <v>0.89703733766233762</v>
      </c>
      <c r="I984" s="3">
        <f t="shared" ca="1" si="109"/>
        <v>45.311046719843723</v>
      </c>
      <c r="J984" s="3">
        <f t="shared" ca="1" si="110"/>
        <v>12.952338762214984</v>
      </c>
      <c r="K984" s="3">
        <f t="shared" ca="1" si="111"/>
        <v>25.186242591503419</v>
      </c>
    </row>
    <row r="985" spans="3:11" x14ac:dyDescent="0.35">
      <c r="C985" t="str">
        <f t="shared" ca="1" si="105"/>
        <v>4Q2023</v>
      </c>
      <c r="D985" vm="1957">
        <f ca="1"/>
        <v>45372</v>
      </c>
      <c r="E985" vm="1958">
        <f ca="1"/>
        <v>91.435000000000002</v>
      </c>
      <c r="F985" s="3">
        <f t="shared" ca="1" si="106"/>
        <v>0.49862012987012988</v>
      </c>
      <c r="G985" s="3">
        <f t="shared" ca="1" si="107"/>
        <v>1.7443181818181819</v>
      </c>
      <c r="H985" s="3">
        <f t="shared" ca="1" si="108"/>
        <v>0.89703733766233762</v>
      </c>
      <c r="I985" s="3">
        <f t="shared" ca="1" si="109"/>
        <v>45.844017580986488</v>
      </c>
      <c r="J985" s="3">
        <f t="shared" ca="1" si="110"/>
        <v>13.104690553745929</v>
      </c>
      <c r="K985" s="3">
        <f t="shared" ca="1" si="111"/>
        <v>25.482495588834098</v>
      </c>
    </row>
    <row r="986" spans="3:11" x14ac:dyDescent="0.35">
      <c r="C986" t="str">
        <f t="shared" ca="1" si="105"/>
        <v>4Q2023</v>
      </c>
      <c r="D986" vm="1959">
        <f ca="1"/>
        <v>45373</v>
      </c>
      <c r="E986" vm="1960">
        <f ca="1"/>
        <v>94.289000000000001</v>
      </c>
      <c r="F986" s="3">
        <f t="shared" ca="1" si="106"/>
        <v>0.49862012987012988</v>
      </c>
      <c r="G986" s="3">
        <f t="shared" ca="1" si="107"/>
        <v>1.7443181818181819</v>
      </c>
      <c r="H986" s="3">
        <f t="shared" ca="1" si="108"/>
        <v>0.89703733766233762</v>
      </c>
      <c r="I986" s="3">
        <f t="shared" ca="1" si="109"/>
        <v>47.274966628683053</v>
      </c>
      <c r="J986" s="3">
        <f t="shared" ca="1" si="110"/>
        <v>13.5137328990228</v>
      </c>
      <c r="K986" s="3">
        <f t="shared" ca="1" si="111"/>
        <v>26.277891688911009</v>
      </c>
    </row>
    <row r="987" spans="3:11" x14ac:dyDescent="0.35">
      <c r="C987" t="str">
        <f t="shared" ca="1" si="105"/>
        <v>4Q2023</v>
      </c>
      <c r="D987" vm="1961">
        <f ca="1"/>
        <v>45376</v>
      </c>
      <c r="E987" vm="1962">
        <f ca="1"/>
        <v>95.001999999999995</v>
      </c>
      <c r="F987" s="3">
        <f t="shared" ca="1" si="106"/>
        <v>0.49862012987012988</v>
      </c>
      <c r="G987" s="3">
        <f t="shared" ca="1" si="107"/>
        <v>1.7443181818181819</v>
      </c>
      <c r="H987" s="3">
        <f t="shared" ca="1" si="108"/>
        <v>0.89703733766233762</v>
      </c>
      <c r="I987" s="3">
        <f t="shared" ca="1" si="109"/>
        <v>47.632453198762818</v>
      </c>
      <c r="J987" s="3">
        <f t="shared" ca="1" si="110"/>
        <v>13.615921824104234</v>
      </c>
      <c r="K987" s="3">
        <f t="shared" ca="1" si="111"/>
        <v>26.476601366330364</v>
      </c>
    </row>
    <row r="988" spans="3:11" x14ac:dyDescent="0.35">
      <c r="C988" t="str">
        <f t="shared" ca="1" si="105"/>
        <v>4Q2023</v>
      </c>
      <c r="D988" vm="1963">
        <f ca="1"/>
        <v>45377</v>
      </c>
      <c r="E988" vm="1964">
        <f ca="1"/>
        <v>92.561000000000007</v>
      </c>
      <c r="F988" s="3">
        <f t="shared" ca="1" si="106"/>
        <v>0.49862012987012988</v>
      </c>
      <c r="G988" s="3">
        <f t="shared" ca="1" si="107"/>
        <v>1.7443181818181819</v>
      </c>
      <c r="H988" s="3">
        <f t="shared" ca="1" si="108"/>
        <v>0.89703733766233762</v>
      </c>
      <c r="I988" s="3">
        <f t="shared" ca="1" si="109"/>
        <v>46.408575614520593</v>
      </c>
      <c r="J988" s="3">
        <f t="shared" ca="1" si="110"/>
        <v>13.266071661237785</v>
      </c>
      <c r="K988" s="3">
        <f t="shared" ca="1" si="111"/>
        <v>25.796306383748817</v>
      </c>
    </row>
    <row r="989" spans="3:11" x14ac:dyDescent="0.35">
      <c r="C989" t="str">
        <f t="shared" ca="1" si="105"/>
        <v>4Q2023</v>
      </c>
      <c r="D989" vm="1965">
        <f ca="1"/>
        <v>45378</v>
      </c>
      <c r="E989" vm="1966">
        <f ca="1"/>
        <v>90.25</v>
      </c>
      <c r="F989" s="3">
        <f t="shared" ca="1" si="106"/>
        <v>0.49862012987012988</v>
      </c>
      <c r="G989" s="3">
        <f t="shared" ca="1" si="107"/>
        <v>1.7443181818181819</v>
      </c>
      <c r="H989" s="3">
        <f t="shared" ca="1" si="108"/>
        <v>0.89703733766233762</v>
      </c>
      <c r="I989" s="3">
        <f t="shared" ca="1" si="109"/>
        <v>45.24987790981605</v>
      </c>
      <c r="J989" s="3">
        <f t="shared" ca="1" si="110"/>
        <v>12.93485342019544</v>
      </c>
      <c r="K989" s="3">
        <f t="shared" ca="1" si="111"/>
        <v>25.152241777134329</v>
      </c>
    </row>
    <row r="990" spans="3:11" x14ac:dyDescent="0.35">
      <c r="C990" t="str">
        <f t="shared" ca="1" si="105"/>
        <v>4Q2023</v>
      </c>
      <c r="D990" vm="1967">
        <f ca="1"/>
        <v>45379</v>
      </c>
      <c r="E990" vm="1968">
        <f ca="1"/>
        <v>90.355999999999995</v>
      </c>
      <c r="F990" s="3">
        <f t="shared" ca="1" si="106"/>
        <v>0.49862012987012988</v>
      </c>
      <c r="G990" s="3">
        <f t="shared" ca="1" si="107"/>
        <v>1.7443181818181819</v>
      </c>
      <c r="H990" s="3">
        <f t="shared" ca="1" si="108"/>
        <v>0.89703733766233762</v>
      </c>
      <c r="I990" s="3">
        <f t="shared" ca="1" si="109"/>
        <v>45.303024580823696</v>
      </c>
      <c r="J990" s="3">
        <f t="shared" ca="1" si="110"/>
        <v>12.950045602605861</v>
      </c>
      <c r="K990" s="3">
        <f t="shared" ca="1" si="111"/>
        <v>25.181783468307469</v>
      </c>
    </row>
    <row r="991" spans="3:11" x14ac:dyDescent="0.35">
      <c r="C991" t="str">
        <f t="shared" ca="1" si="105"/>
        <v>4Q2023</v>
      </c>
      <c r="D991" vm="1969">
        <f ca="1"/>
        <v>45383</v>
      </c>
      <c r="E991" vm="1970">
        <f ca="1"/>
        <v>90.363</v>
      </c>
      <c r="F991" s="3">
        <f t="shared" ca="1" si="106"/>
        <v>0.49862012987012988</v>
      </c>
      <c r="G991" s="3">
        <f t="shared" ca="1" si="107"/>
        <v>1.7443181818181819</v>
      </c>
      <c r="H991" s="3">
        <f t="shared" ca="1" si="108"/>
        <v>0.89703733766233762</v>
      </c>
      <c r="I991" s="3">
        <f t="shared" ca="1" si="109"/>
        <v>45.30653426664496</v>
      </c>
      <c r="J991" s="3">
        <f t="shared" ca="1" si="110"/>
        <v>12.951048859934852</v>
      </c>
      <c r="K991" s="3">
        <f t="shared" ca="1" si="111"/>
        <v>25.183734334705697</v>
      </c>
    </row>
    <row r="992" spans="3:11" x14ac:dyDescent="0.35">
      <c r="C992" t="str">
        <f t="shared" ca="1" si="105"/>
        <v>4Q2023</v>
      </c>
      <c r="D992" vm="1971">
        <f ca="1"/>
        <v>45384</v>
      </c>
      <c r="E992" vm="1972">
        <f ca="1"/>
        <v>89.451999999999998</v>
      </c>
      <c r="F992" s="3">
        <f t="shared" ca="1" si="106"/>
        <v>0.49862012987012988</v>
      </c>
      <c r="G992" s="3">
        <f t="shared" ca="1" si="107"/>
        <v>1.7443181818181819</v>
      </c>
      <c r="H992" s="3">
        <f t="shared" ca="1" si="108"/>
        <v>0.89703733766233762</v>
      </c>
      <c r="I992" s="3">
        <f t="shared" ca="1" si="109"/>
        <v>44.84977372619241</v>
      </c>
      <c r="J992" s="3">
        <f t="shared" ca="1" si="110"/>
        <v>12.820482084690553</v>
      </c>
      <c r="K992" s="3">
        <f t="shared" ca="1" si="111"/>
        <v>24.929843007736508</v>
      </c>
    </row>
    <row r="993" spans="3:11" x14ac:dyDescent="0.35">
      <c r="C993" t="str">
        <f t="shared" ca="1" si="105"/>
        <v>4Q2023</v>
      </c>
      <c r="D993" vm="1973">
        <f ca="1"/>
        <v>45385</v>
      </c>
      <c r="E993" vm="1974">
        <f ca="1"/>
        <v>88.963999999999999</v>
      </c>
      <c r="F993" s="3">
        <f t="shared" ca="1" si="106"/>
        <v>0.49862012987012988</v>
      </c>
      <c r="G993" s="3">
        <f t="shared" ca="1" si="107"/>
        <v>1.7443181818181819</v>
      </c>
      <c r="H993" s="3">
        <f t="shared" ca="1" si="108"/>
        <v>0.89703733766233762</v>
      </c>
      <c r="I993" s="3">
        <f t="shared" ca="1" si="109"/>
        <v>44.605098486081715</v>
      </c>
      <c r="J993" s="3">
        <f t="shared" ca="1" si="110"/>
        <v>12.750540716612377</v>
      </c>
      <c r="K993" s="3">
        <f t="shared" ca="1" si="111"/>
        <v>24.793839750260148</v>
      </c>
    </row>
    <row r="994" spans="3:11" x14ac:dyDescent="0.35">
      <c r="C994" t="str">
        <f t="shared" ca="1" si="105"/>
        <v>4Q2023</v>
      </c>
      <c r="D994" vm="1975">
        <f ca="1"/>
        <v>45386</v>
      </c>
      <c r="E994" vm="1976">
        <f ca="1"/>
        <v>85.905000000000001</v>
      </c>
      <c r="F994" s="3">
        <f t="shared" ca="1" si="106"/>
        <v>0.49862012987012988</v>
      </c>
      <c r="G994" s="3">
        <f t="shared" ca="1" si="107"/>
        <v>1.7443181818181819</v>
      </c>
      <c r="H994" s="3">
        <f t="shared" ca="1" si="108"/>
        <v>0.89703733766233762</v>
      </c>
      <c r="I994" s="3">
        <f t="shared" ca="1" si="109"/>
        <v>43.071365782191108</v>
      </c>
      <c r="J994" s="3">
        <f t="shared" ca="1" si="110"/>
        <v>12.312117263843648</v>
      </c>
      <c r="K994" s="3">
        <f t="shared" ca="1" si="111"/>
        <v>23.941311134235175</v>
      </c>
    </row>
    <row r="995" spans="3:11" x14ac:dyDescent="0.35">
      <c r="C995" t="str">
        <f t="shared" ca="1" si="105"/>
        <v>4Q2023</v>
      </c>
      <c r="D995" vm="1977">
        <f ca="1"/>
        <v>45387</v>
      </c>
      <c r="E995" vm="1978">
        <f ca="1"/>
        <v>88.007999999999996</v>
      </c>
      <c r="F995" s="3">
        <f t="shared" ca="1" si="106"/>
        <v>0.49862012987012988</v>
      </c>
      <c r="G995" s="3">
        <f t="shared" ca="1" si="107"/>
        <v>1.7443181818181819</v>
      </c>
      <c r="H995" s="3">
        <f t="shared" ca="1" si="108"/>
        <v>0.89703733766233762</v>
      </c>
      <c r="I995" s="3">
        <f t="shared" ca="1" si="109"/>
        <v>44.125775679635353</v>
      </c>
      <c r="J995" s="3">
        <f t="shared" ca="1" si="110"/>
        <v>12.613524429967425</v>
      </c>
      <c r="K995" s="3">
        <f t="shared" ca="1" si="111"/>
        <v>24.527407139302358</v>
      </c>
    </row>
    <row r="996" spans="3:11" x14ac:dyDescent="0.35">
      <c r="C996" t="str">
        <f t="shared" ca="1" si="105"/>
        <v>4Q2023</v>
      </c>
      <c r="D996" vm="1979">
        <f ca="1"/>
        <v>45390</v>
      </c>
      <c r="E996" vm="1980">
        <f ca="1"/>
        <v>87.132999999999996</v>
      </c>
      <c r="F996" s="3">
        <f t="shared" ca="1" si="106"/>
        <v>0.49862012987012988</v>
      </c>
      <c r="G996" s="3">
        <f t="shared" ca="1" si="107"/>
        <v>1.7443181818181819</v>
      </c>
      <c r="H996" s="3">
        <f t="shared" ca="1" si="108"/>
        <v>0.89703733766233762</v>
      </c>
      <c r="I996" s="3">
        <f t="shared" ca="1" si="109"/>
        <v>43.68706495197786</v>
      </c>
      <c r="J996" s="3">
        <f t="shared" ca="1" si="110"/>
        <v>12.488117263843646</v>
      </c>
      <c r="K996" s="3">
        <f t="shared" ca="1" si="111"/>
        <v>24.283548839524048</v>
      </c>
    </row>
    <row r="997" spans="3:11" x14ac:dyDescent="0.35">
      <c r="C997" t="str">
        <f t="shared" ca="1" si="105"/>
        <v>4Q2023</v>
      </c>
      <c r="D997" vm="1981">
        <f ca="1"/>
        <v>45391</v>
      </c>
      <c r="E997" vm="1982">
        <f ca="1"/>
        <v>85.353999999999999</v>
      </c>
      <c r="F997" s="3">
        <f t="shared" ca="1" si="106"/>
        <v>0.49862012987012988</v>
      </c>
      <c r="G997" s="3">
        <f t="shared" ca="1" si="107"/>
        <v>1.7443181818181819</v>
      </c>
      <c r="H997" s="3">
        <f t="shared" ca="1" si="108"/>
        <v>0.89703733766233762</v>
      </c>
      <c r="I997" s="3">
        <f t="shared" ca="1" si="109"/>
        <v>42.795103369689073</v>
      </c>
      <c r="J997" s="3">
        <f t="shared" ca="1" si="110"/>
        <v>12.23314657980456</v>
      </c>
      <c r="K997" s="3">
        <f t="shared" ca="1" si="111"/>
        <v>23.787750079174774</v>
      </c>
    </row>
    <row r="998" spans="3:11" x14ac:dyDescent="0.35">
      <c r="C998" t="str">
        <f t="shared" ca="1" si="105"/>
        <v>4Q2023</v>
      </c>
      <c r="D998" vm="1983">
        <f ca="1"/>
        <v>45392</v>
      </c>
      <c r="E998" vm="1984">
        <f ca="1"/>
        <v>87.039000000000001</v>
      </c>
      <c r="F998" s="3">
        <f t="shared" ca="1" si="106"/>
        <v>0.49862012987012988</v>
      </c>
      <c r="G998" s="3">
        <f t="shared" ca="1" si="107"/>
        <v>1.7443181818181819</v>
      </c>
      <c r="H998" s="3">
        <f t="shared" ca="1" si="108"/>
        <v>0.89703733766233762</v>
      </c>
      <c r="I998" s="3">
        <f t="shared" ca="1" si="109"/>
        <v>43.639934885235228</v>
      </c>
      <c r="J998" s="3">
        <f t="shared" ca="1" si="110"/>
        <v>12.474644951140064</v>
      </c>
      <c r="K998" s="3">
        <f t="shared" ca="1" si="111"/>
        <v>24.257351490747865</v>
      </c>
    </row>
    <row r="999" spans="3:11" x14ac:dyDescent="0.35">
      <c r="C999" t="str">
        <f t="shared" ca="1" si="105"/>
        <v>4Q2023</v>
      </c>
      <c r="D999" vm="1985">
        <f ca="1"/>
        <v>45393</v>
      </c>
      <c r="E999" vm="1986">
        <f ca="1"/>
        <v>90.616</v>
      </c>
      <c r="F999" s="3">
        <f t="shared" ca="1" si="106"/>
        <v>0.49862012987012988</v>
      </c>
      <c r="G999" s="3">
        <f t="shared" ca="1" si="107"/>
        <v>1.7443181818181819</v>
      </c>
      <c r="H999" s="3">
        <f t="shared" ca="1" si="108"/>
        <v>0.89703733766233762</v>
      </c>
      <c r="I999" s="3">
        <f t="shared" ca="1" si="109"/>
        <v>45.433384339899071</v>
      </c>
      <c r="J999" s="3">
        <f t="shared" ca="1" si="110"/>
        <v>12.987309446254072</v>
      </c>
      <c r="K999" s="3">
        <f t="shared" ca="1" si="111"/>
        <v>25.254244220241596</v>
      </c>
    </row>
    <row r="1000" spans="3:11" x14ac:dyDescent="0.35">
      <c r="C1000" t="str">
        <f t="shared" ca="1" si="105"/>
        <v>4Q2023</v>
      </c>
      <c r="D1000" vm="1987">
        <f ca="1"/>
        <v>45394</v>
      </c>
      <c r="E1000" vm="1988">
        <f ca="1"/>
        <v>88.186000000000007</v>
      </c>
      <c r="F1000" s="3">
        <f t="shared" ca="1" si="106"/>
        <v>0.49862012987012988</v>
      </c>
      <c r="G1000" s="3">
        <f t="shared" ca="1" si="107"/>
        <v>1.7443181818181819</v>
      </c>
      <c r="H1000" s="3">
        <f t="shared" ca="1" si="108"/>
        <v>0.89703733766233762</v>
      </c>
      <c r="I1000" s="3">
        <f t="shared" ca="1" si="109"/>
        <v>44.21502197623311</v>
      </c>
      <c r="J1000" s="3">
        <f t="shared" ca="1" si="110"/>
        <v>12.639035830618893</v>
      </c>
      <c r="K1000" s="3">
        <f t="shared" ca="1" si="111"/>
        <v>24.577014884857263</v>
      </c>
    </row>
    <row r="1001" spans="3:11" x14ac:dyDescent="0.35">
      <c r="C1001" t="str">
        <f t="shared" ca="1" si="105"/>
        <v>4Q2023</v>
      </c>
      <c r="D1001" vm="1989">
        <f ca="1"/>
        <v>45397</v>
      </c>
      <c r="E1001" vm="1990">
        <f ca="1"/>
        <v>86.001000000000005</v>
      </c>
      <c r="F1001" s="3">
        <f t="shared" ca="1" si="106"/>
        <v>0.49862012987012988</v>
      </c>
      <c r="G1001" s="3">
        <f t="shared" ca="1" si="107"/>
        <v>1.7443181818181819</v>
      </c>
      <c r="H1001" s="3">
        <f t="shared" ca="1" si="108"/>
        <v>0.89703733766233762</v>
      </c>
      <c r="I1001" s="3">
        <f t="shared" ca="1" si="109"/>
        <v>43.119498616311247</v>
      </c>
      <c r="J1001" s="3">
        <f t="shared" ca="1" si="110"/>
        <v>12.325876221498371</v>
      </c>
      <c r="K1001" s="3">
        <f t="shared" ca="1" si="111"/>
        <v>23.96806587341085</v>
      </c>
    </row>
    <row r="1002" spans="3:11" x14ac:dyDescent="0.35">
      <c r="C1002" t="str">
        <f t="shared" ca="1" si="105"/>
        <v>4Q2023</v>
      </c>
      <c r="D1002" vm="1991">
        <f ca="1"/>
        <v>45398</v>
      </c>
      <c r="E1002" vm="1992">
        <f ca="1"/>
        <v>87.415000000000006</v>
      </c>
      <c r="F1002" s="3">
        <f t="shared" ca="1" si="106"/>
        <v>0.49862012987012988</v>
      </c>
      <c r="G1002" s="3">
        <f t="shared" ca="1" si="107"/>
        <v>1.7443181818181819</v>
      </c>
      <c r="H1002" s="3">
        <f t="shared" ca="1" si="108"/>
        <v>0.89703733766233762</v>
      </c>
      <c r="I1002" s="3">
        <f t="shared" ca="1" si="109"/>
        <v>43.828455152205763</v>
      </c>
      <c r="J1002" s="3">
        <f t="shared" ca="1" si="110"/>
        <v>12.528534201954399</v>
      </c>
      <c r="K1002" s="3">
        <f t="shared" ca="1" si="111"/>
        <v>24.362140885852604</v>
      </c>
    </row>
    <row r="1003" spans="3:11" x14ac:dyDescent="0.35">
      <c r="C1003" t="str">
        <f t="shared" ca="1" si="105"/>
        <v>4Q2023</v>
      </c>
      <c r="D1003" vm="1993">
        <f ca="1"/>
        <v>45399</v>
      </c>
      <c r="E1003" vm="1994">
        <f ca="1"/>
        <v>84.034999999999997</v>
      </c>
      <c r="F1003" s="3">
        <f t="shared" ca="1" si="106"/>
        <v>0.49862012987012988</v>
      </c>
      <c r="G1003" s="3">
        <f t="shared" ca="1" si="107"/>
        <v>1.7443181818181819</v>
      </c>
      <c r="H1003" s="3">
        <f t="shared" ca="1" si="108"/>
        <v>0.89703733766233762</v>
      </c>
      <c r="I1003" s="3">
        <f t="shared" ca="1" si="109"/>
        <v>42.133778284225947</v>
      </c>
      <c r="J1003" s="3">
        <f t="shared" ca="1" si="110"/>
        <v>12.044104234527687</v>
      </c>
      <c r="K1003" s="3">
        <f t="shared" ca="1" si="111"/>
        <v>23.420151110708954</v>
      </c>
    </row>
    <row r="1004" spans="3:11" x14ac:dyDescent="0.35">
      <c r="C1004" t="str">
        <f t="shared" ca="1" si="105"/>
        <v>4Q2023</v>
      </c>
      <c r="D1004" vm="1995">
        <f ca="1"/>
        <v>45400</v>
      </c>
      <c r="E1004" vm="1996">
        <f ca="1"/>
        <v>84.671000000000006</v>
      </c>
      <c r="F1004" s="3">
        <f t="shared" ca="1" si="106"/>
        <v>0.49862012987012988</v>
      </c>
      <c r="G1004" s="3">
        <f t="shared" ca="1" si="107"/>
        <v>1.7443181818181819</v>
      </c>
      <c r="H1004" s="3">
        <f t="shared" ca="1" si="108"/>
        <v>0.89703733766233762</v>
      </c>
      <c r="I1004" s="3">
        <f t="shared" ca="1" si="109"/>
        <v>42.452658310271858</v>
      </c>
      <c r="J1004" s="3">
        <f t="shared" ca="1" si="110"/>
        <v>12.135257328990228</v>
      </c>
      <c r="K1004" s="3">
        <f t="shared" ca="1" si="111"/>
        <v>23.597401257747819</v>
      </c>
    </row>
    <row r="1005" spans="3:11" x14ac:dyDescent="0.35">
      <c r="C1005" t="str">
        <f t="shared" ca="1" si="105"/>
        <v>4Q2023</v>
      </c>
      <c r="D1005" vm="1997">
        <f ca="1"/>
        <v>45401</v>
      </c>
      <c r="E1005" vm="1998">
        <f ca="1"/>
        <v>76.2</v>
      </c>
      <c r="F1005" s="3">
        <f t="shared" ca="1" si="106"/>
        <v>0.49862012987012988</v>
      </c>
      <c r="G1005" s="3">
        <f t="shared" ca="1" si="107"/>
        <v>1.7443181818181819</v>
      </c>
      <c r="H1005" s="3">
        <f t="shared" ca="1" si="108"/>
        <v>0.89703733766233762</v>
      </c>
      <c r="I1005" s="3">
        <f t="shared" ca="1" si="109"/>
        <v>38.205437082858538</v>
      </c>
      <c r="J1005" s="3">
        <f t="shared" ca="1" si="110"/>
        <v>10.921172638436483</v>
      </c>
      <c r="K1005" s="3">
        <f t="shared" ca="1" si="111"/>
        <v>21.236574220694024</v>
      </c>
    </row>
    <row r="1006" spans="3:11" x14ac:dyDescent="0.35">
      <c r="C1006" t="str">
        <f t="shared" ca="1" si="105"/>
        <v>4Q2023</v>
      </c>
      <c r="D1006" vm="1999">
        <f ca="1"/>
        <v>45404</v>
      </c>
      <c r="E1006" vm="2000">
        <f ca="1"/>
        <v>79.518000000000001</v>
      </c>
      <c r="F1006" s="3">
        <f t="shared" ca="1" si="106"/>
        <v>0.49862012987012988</v>
      </c>
      <c r="G1006" s="3">
        <f t="shared" ca="1" si="107"/>
        <v>1.7443181818181819</v>
      </c>
      <c r="H1006" s="3">
        <f t="shared" ca="1" si="108"/>
        <v>0.89703733766233762</v>
      </c>
      <c r="I1006" s="3">
        <f t="shared" ca="1" si="109"/>
        <v>39.869028162135763</v>
      </c>
      <c r="J1006" s="3">
        <f t="shared" ca="1" si="110"/>
        <v>11.396716612377849</v>
      </c>
      <c r="K1006" s="3">
        <f t="shared" ca="1" si="111"/>
        <v>22.161284893453377</v>
      </c>
    </row>
    <row r="1007" spans="3:11" x14ac:dyDescent="0.35">
      <c r="C1007" t="str">
        <f t="shared" ca="1" si="105"/>
        <v>4Q2023</v>
      </c>
      <c r="D1007" vm="2001">
        <f ca="1"/>
        <v>45405</v>
      </c>
      <c r="E1007" vm="2002">
        <f ca="1"/>
        <v>82.423000000000002</v>
      </c>
      <c r="F1007" s="3">
        <f t="shared" ca="1" si="106"/>
        <v>0.49862012987012988</v>
      </c>
      <c r="G1007" s="3">
        <f t="shared" ca="1" si="107"/>
        <v>1.7443181818181819</v>
      </c>
      <c r="H1007" s="3">
        <f t="shared" ca="1" si="108"/>
        <v>0.89703733766233762</v>
      </c>
      <c r="I1007" s="3">
        <f t="shared" ca="1" si="109"/>
        <v>41.325547777958654</v>
      </c>
      <c r="J1007" s="3">
        <f t="shared" ca="1" si="110"/>
        <v>11.813068403908794</v>
      </c>
      <c r="K1007" s="3">
        <f t="shared" ca="1" si="111"/>
        <v>22.97089444871737</v>
      </c>
    </row>
    <row r="1008" spans="3:11" x14ac:dyDescent="0.35">
      <c r="C1008" t="str">
        <f t="shared" ca="1" si="105"/>
        <v>4Q2023</v>
      </c>
      <c r="D1008" vm="2003">
        <f ca="1"/>
        <v>45406</v>
      </c>
      <c r="E1008" vm="2004">
        <f ca="1"/>
        <v>79.677000000000007</v>
      </c>
      <c r="F1008" s="3">
        <f t="shared" ca="1" si="106"/>
        <v>0.49862012987012988</v>
      </c>
      <c r="G1008" s="3">
        <f t="shared" ca="1" si="107"/>
        <v>1.7443181818181819</v>
      </c>
      <c r="H1008" s="3">
        <f t="shared" ca="1" si="108"/>
        <v>0.89703733766233762</v>
      </c>
      <c r="I1008" s="3">
        <f t="shared" ca="1" si="109"/>
        <v>39.948748168647242</v>
      </c>
      <c r="J1008" s="3">
        <f t="shared" ca="1" si="110"/>
        <v>11.419504885993486</v>
      </c>
      <c r="K1008" s="3">
        <f t="shared" ca="1" si="111"/>
        <v>22.205597430213096</v>
      </c>
    </row>
    <row r="1009" spans="3:11" x14ac:dyDescent="0.35">
      <c r="C1009" t="str">
        <f t="shared" ca="1" si="105"/>
        <v>4Q2023</v>
      </c>
      <c r="D1009" vm="2005">
        <f ca="1"/>
        <v>45407</v>
      </c>
      <c r="E1009" vm="2006">
        <f ca="1"/>
        <v>82.632000000000005</v>
      </c>
      <c r="F1009" s="3">
        <f t="shared" ca="1" si="106"/>
        <v>0.49862012987012988</v>
      </c>
      <c r="G1009" s="3">
        <f t="shared" ca="1" si="107"/>
        <v>1.7443181818181819</v>
      </c>
      <c r="H1009" s="3">
        <f t="shared" ca="1" si="108"/>
        <v>0.89703733766233762</v>
      </c>
      <c r="I1009" s="3">
        <f t="shared" ca="1" si="109"/>
        <v>41.430336968907703</v>
      </c>
      <c r="J1009" s="3">
        <f t="shared" ca="1" si="110"/>
        <v>11.843022801302931</v>
      </c>
      <c r="K1009" s="3">
        <f t="shared" ca="1" si="111"/>
        <v>23.029141745464418</v>
      </c>
    </row>
    <row r="1010" spans="3:11" x14ac:dyDescent="0.35">
      <c r="C1010" t="str">
        <f t="shared" ca="1" si="105"/>
        <v>4Q2023</v>
      </c>
      <c r="D1010" vm="2007">
        <f ca="1"/>
        <v>45408</v>
      </c>
      <c r="E1010" vm="2008">
        <f ca="1"/>
        <v>87.734999999999999</v>
      </c>
      <c r="F1010" s="3">
        <f t="shared" ca="1" si="106"/>
        <v>0.49862012987012988</v>
      </c>
      <c r="G1010" s="3">
        <f t="shared" ca="1" si="107"/>
        <v>1.7443181818181819</v>
      </c>
      <c r="H1010" s="3">
        <f t="shared" ca="1" si="108"/>
        <v>0.89703733766233762</v>
      </c>
      <c r="I1010" s="3">
        <f t="shared" ca="1" si="109"/>
        <v>43.988897932606214</v>
      </c>
      <c r="J1010" s="3">
        <f t="shared" ca="1" si="110"/>
        <v>12.574397394136808</v>
      </c>
      <c r="K1010" s="3">
        <f t="shared" ca="1" si="111"/>
        <v>24.451323349771524</v>
      </c>
    </row>
    <row r="1011" spans="3:11" x14ac:dyDescent="0.35">
      <c r="C1011" t="str">
        <f t="shared" ca="1" si="105"/>
        <v>1Q2024</v>
      </c>
      <c r="D1011" vm="2009">
        <f ca="1"/>
        <v>45411</v>
      </c>
      <c r="E1011" vm="2010">
        <f ca="1"/>
        <v>87.757000000000005</v>
      </c>
      <c r="F1011" s="3">
        <f t="shared" ca="1" si="106"/>
        <v>0.60516470109800735</v>
      </c>
      <c r="G1011" s="3">
        <f t="shared" ca="1" si="107"/>
        <v>1.9983733224888165</v>
      </c>
      <c r="H1011" s="3">
        <f t="shared" ca="1" si="108"/>
        <v>1.0591297275315168</v>
      </c>
      <c r="I1011" s="3">
        <f t="shared" ca="1" si="109"/>
        <v>36.253353773267925</v>
      </c>
      <c r="J1011" s="3">
        <f t="shared" ca="1" si="110"/>
        <v>10.978554283679285</v>
      </c>
      <c r="K1011" s="3">
        <f t="shared" ca="1" si="111"/>
        <v>20.714412436645681</v>
      </c>
    </row>
    <row r="1012" spans="3:11" x14ac:dyDescent="0.35">
      <c r="C1012" t="str">
        <f t="shared" ca="1" si="105"/>
        <v>1Q2024</v>
      </c>
      <c r="D1012" vm="2011">
        <f ca="1"/>
        <v>45412</v>
      </c>
      <c r="E1012" vm="2012">
        <f ca="1"/>
        <v>86.402000000000001</v>
      </c>
      <c r="F1012" s="3">
        <f t="shared" ca="1" si="106"/>
        <v>0.60516470109800735</v>
      </c>
      <c r="G1012" s="3">
        <f t="shared" ca="1" si="107"/>
        <v>1.9983733224888165</v>
      </c>
      <c r="H1012" s="3">
        <f t="shared" ca="1" si="108"/>
        <v>1.0591297275315168</v>
      </c>
      <c r="I1012" s="3">
        <f t="shared" ca="1" si="109"/>
        <v>35.693588804515826</v>
      </c>
      <c r="J1012" s="3">
        <f t="shared" ca="1" si="110"/>
        <v>10.809041412291412</v>
      </c>
      <c r="K1012" s="3">
        <f t="shared" ca="1" si="111"/>
        <v>20.394574374136081</v>
      </c>
    </row>
    <row r="1013" spans="3:11" x14ac:dyDescent="0.35">
      <c r="C1013" t="str">
        <f t="shared" ca="1" si="105"/>
        <v>1Q2024</v>
      </c>
      <c r="D1013" vm="2013">
        <f ca="1"/>
        <v>45413</v>
      </c>
      <c r="E1013" vm="2014">
        <f ca="1"/>
        <v>83.040999999999997</v>
      </c>
      <c r="F1013" s="3">
        <f t="shared" ca="1" si="106"/>
        <v>0.60516470109800735</v>
      </c>
      <c r="G1013" s="3">
        <f t="shared" ca="1" si="107"/>
        <v>1.9983733224888165</v>
      </c>
      <c r="H1013" s="3">
        <f t="shared" ca="1" si="108"/>
        <v>1.0591297275315168</v>
      </c>
      <c r="I1013" s="3">
        <f t="shared" ca="1" si="109"/>
        <v>34.305123815603785</v>
      </c>
      <c r="J1013" s="3">
        <f t="shared" ca="1" si="110"/>
        <v>10.38857443019943</v>
      </c>
      <c r="K1013" s="3">
        <f t="shared" ca="1" si="111"/>
        <v>19.601234353401935</v>
      </c>
    </row>
    <row r="1014" spans="3:11" x14ac:dyDescent="0.35">
      <c r="C1014" t="str">
        <f t="shared" ca="1" si="105"/>
        <v>1Q2024</v>
      </c>
      <c r="D1014" vm="2015">
        <f ca="1"/>
        <v>45414</v>
      </c>
      <c r="E1014" vm="2016">
        <f ca="1"/>
        <v>85.816999999999993</v>
      </c>
      <c r="F1014" s="3">
        <f t="shared" ca="1" si="106"/>
        <v>0.60516470109800735</v>
      </c>
      <c r="G1014" s="3">
        <f t="shared" ca="1" si="107"/>
        <v>1.9983733224888165</v>
      </c>
      <c r="H1014" s="3">
        <f t="shared" ca="1" si="108"/>
        <v>1.0591297275315168</v>
      </c>
      <c r="I1014" s="3">
        <f t="shared" ca="1" si="109"/>
        <v>35.451919057859008</v>
      </c>
      <c r="J1014" s="3">
        <f t="shared" ca="1" si="110"/>
        <v>10.735856888481889</v>
      </c>
      <c r="K1014" s="3">
        <f t="shared" ca="1" si="111"/>
        <v>20.256489306558134</v>
      </c>
    </row>
    <row r="1015" spans="3:11" x14ac:dyDescent="0.35">
      <c r="C1015" t="str">
        <f t="shared" ca="1" si="105"/>
        <v>1Q2024</v>
      </c>
      <c r="D1015" vm="2017">
        <f ca="1"/>
        <v>45415</v>
      </c>
      <c r="E1015" vm="2018">
        <f ca="1"/>
        <v>88.789000000000001</v>
      </c>
      <c r="F1015" s="3">
        <f t="shared" ca="1" si="106"/>
        <v>0.60516470109800735</v>
      </c>
      <c r="G1015" s="3">
        <f t="shared" ca="1" si="107"/>
        <v>1.9983733224888165</v>
      </c>
      <c r="H1015" s="3">
        <f t="shared" ca="1" si="108"/>
        <v>1.0591297275315168</v>
      </c>
      <c r="I1015" s="3">
        <f t="shared" ca="1" si="109"/>
        <v>36.679683993011224</v>
      </c>
      <c r="J1015" s="3">
        <f t="shared" ca="1" si="110"/>
        <v>11.107659289784291</v>
      </c>
      <c r="K1015" s="3">
        <f t="shared" ca="1" si="111"/>
        <v>20.958008658424209</v>
      </c>
    </row>
    <row r="1016" spans="3:11" x14ac:dyDescent="0.35">
      <c r="C1016" t="str">
        <f t="shared" ca="1" si="105"/>
        <v>1Q2024</v>
      </c>
      <c r="D1016" vm="2019">
        <f ca="1"/>
        <v>45418</v>
      </c>
      <c r="E1016" vm="2020">
        <f ca="1"/>
        <v>92.14</v>
      </c>
      <c r="F1016" s="3">
        <f t="shared" ca="1" si="106"/>
        <v>0.60516470109800735</v>
      </c>
      <c r="G1016" s="3">
        <f t="shared" ca="1" si="107"/>
        <v>1.9983733224888165</v>
      </c>
      <c r="H1016" s="3">
        <f t="shared" ca="1" si="108"/>
        <v>1.0591297275315168</v>
      </c>
      <c r="I1016" s="3">
        <f t="shared" ca="1" si="109"/>
        <v>38.064017875142795</v>
      </c>
      <c r="J1016" s="3">
        <f t="shared" ca="1" si="110"/>
        <v>11.526875254375256</v>
      </c>
      <c r="K1016" s="3">
        <f t="shared" ca="1" si="111"/>
        <v>21.748988250652744</v>
      </c>
    </row>
    <row r="1017" spans="3:11" x14ac:dyDescent="0.35">
      <c r="C1017" t="str">
        <f t="shared" ca="1" si="105"/>
        <v>1Q2024</v>
      </c>
      <c r="D1017" vm="2021">
        <f ca="1"/>
        <v>45419</v>
      </c>
      <c r="E1017" vm="2022">
        <f ca="1"/>
        <v>90.554000000000002</v>
      </c>
      <c r="F1017" s="3">
        <f t="shared" ca="1" si="106"/>
        <v>0.60516470109800735</v>
      </c>
      <c r="G1017" s="3">
        <f t="shared" ca="1" si="107"/>
        <v>1.9983733224888165</v>
      </c>
      <c r="H1017" s="3">
        <f t="shared" ca="1" si="108"/>
        <v>1.0591297275315168</v>
      </c>
      <c r="I1017" s="3">
        <f t="shared" ca="1" si="109"/>
        <v>37.408824339762113</v>
      </c>
      <c r="J1017" s="3">
        <f t="shared" ca="1" si="110"/>
        <v>11.32846387871388</v>
      </c>
      <c r="K1017" s="3">
        <f t="shared" ca="1" si="111"/>
        <v>21.374624289663647</v>
      </c>
    </row>
    <row r="1018" spans="3:11" x14ac:dyDescent="0.35">
      <c r="C1018" t="str">
        <f t="shared" ca="1" si="105"/>
        <v>1Q2024</v>
      </c>
      <c r="D1018" vm="2023">
        <f ca="1"/>
        <v>45420</v>
      </c>
      <c r="E1018" vm="2024">
        <f ca="1"/>
        <v>90.412000000000006</v>
      </c>
      <c r="F1018" s="3">
        <f t="shared" ca="1" si="106"/>
        <v>0.60516470109800735</v>
      </c>
      <c r="G1018" s="3">
        <f t="shared" ca="1" si="107"/>
        <v>1.9983733224888165</v>
      </c>
      <c r="H1018" s="3">
        <f t="shared" ca="1" si="108"/>
        <v>1.0591297275315168</v>
      </c>
      <c r="I1018" s="3">
        <f t="shared" ca="1" si="109"/>
        <v>37.350162623479605</v>
      </c>
      <c r="J1018" s="3">
        <f t="shared" ca="1" si="110"/>
        <v>11.310699430199431</v>
      </c>
      <c r="K1018" s="3">
        <f t="shared" ca="1" si="111"/>
        <v>21.341106204884046</v>
      </c>
    </row>
    <row r="1019" spans="3:11" x14ac:dyDescent="0.35">
      <c r="C1019" t="str">
        <f t="shared" ca="1" si="105"/>
        <v>1Q2024</v>
      </c>
      <c r="D1019" vm="2025">
        <f ca="1"/>
        <v>45421</v>
      </c>
      <c r="E1019" vm="2026">
        <f ca="1"/>
        <v>88.747</v>
      </c>
      <c r="F1019" s="3">
        <f t="shared" ca="1" si="106"/>
        <v>0.60516470109800735</v>
      </c>
      <c r="G1019" s="3">
        <f t="shared" ca="1" si="107"/>
        <v>1.9983733224888165</v>
      </c>
      <c r="H1019" s="3">
        <f t="shared" ca="1" si="108"/>
        <v>1.0591297275315168</v>
      </c>
      <c r="I1019" s="3">
        <f t="shared" ca="1" si="109"/>
        <v>36.662333344533295</v>
      </c>
      <c r="J1019" s="3">
        <f t="shared" ca="1" si="110"/>
        <v>11.102405016280017</v>
      </c>
      <c r="K1019" s="3">
        <f t="shared" ca="1" si="111"/>
        <v>20.948094858700664</v>
      </c>
    </row>
    <row r="1020" spans="3:11" x14ac:dyDescent="0.35">
      <c r="C1020" t="str">
        <f t="shared" ca="1" si="105"/>
        <v>1Q2024</v>
      </c>
      <c r="D1020" vm="2027">
        <f ca="1"/>
        <v>45422</v>
      </c>
      <c r="E1020" vm="2028">
        <f ca="1"/>
        <v>89.878</v>
      </c>
      <c r="F1020" s="3">
        <f t="shared" ca="1" si="106"/>
        <v>0.60516470109800735</v>
      </c>
      <c r="G1020" s="3">
        <f t="shared" ca="1" si="107"/>
        <v>1.9983733224888165</v>
      </c>
      <c r="H1020" s="3">
        <f t="shared" ca="1" si="108"/>
        <v>1.0591297275315168</v>
      </c>
      <c r="I1020" s="3">
        <f t="shared" ca="1" si="109"/>
        <v>37.129561521403133</v>
      </c>
      <c r="J1020" s="3">
        <f t="shared" ca="1" si="110"/>
        <v>11.243895095645096</v>
      </c>
      <c r="K1020" s="3">
        <f t="shared" ca="1" si="111"/>
        <v>21.215059322684688</v>
      </c>
    </row>
    <row r="1021" spans="3:11" x14ac:dyDescent="0.35">
      <c r="C1021" t="str">
        <f t="shared" ca="1" si="105"/>
        <v>1Q2024</v>
      </c>
      <c r="D1021" vm="2029">
        <f ca="1"/>
        <v>45425</v>
      </c>
      <c r="E1021" vm="2030">
        <f ca="1"/>
        <v>90.399000000000001</v>
      </c>
      <c r="F1021" s="3">
        <f t="shared" ca="1" si="106"/>
        <v>0.60516470109800735</v>
      </c>
      <c r="G1021" s="3">
        <f t="shared" ca="1" si="107"/>
        <v>1.9983733224888165</v>
      </c>
      <c r="H1021" s="3">
        <f t="shared" ca="1" si="108"/>
        <v>1.0591297275315168</v>
      </c>
      <c r="I1021" s="3">
        <f t="shared" ca="1" si="109"/>
        <v>37.34479218466501</v>
      </c>
      <c r="J1021" s="3">
        <f t="shared" ca="1" si="110"/>
        <v>11.309073107448109</v>
      </c>
      <c r="K1021" s="3">
        <f t="shared" ca="1" si="111"/>
        <v>21.338037647826756</v>
      </c>
    </row>
    <row r="1022" spans="3:11" x14ac:dyDescent="0.35">
      <c r="C1022" t="str">
        <f t="shared" ca="1" si="105"/>
        <v>1Q2024</v>
      </c>
      <c r="D1022" vm="2031">
        <f ca="1"/>
        <v>45426</v>
      </c>
      <c r="E1022" vm="2032">
        <f ca="1"/>
        <v>91.355999999999995</v>
      </c>
      <c r="F1022" s="3">
        <f t="shared" ca="1" si="106"/>
        <v>0.60516470109800735</v>
      </c>
      <c r="G1022" s="3">
        <f t="shared" ca="1" si="107"/>
        <v>1.9983733224888165</v>
      </c>
      <c r="H1022" s="3">
        <f t="shared" ca="1" si="108"/>
        <v>1.0591297275315168</v>
      </c>
      <c r="I1022" s="3">
        <f t="shared" ca="1" si="109"/>
        <v>37.740139103554867</v>
      </c>
      <c r="J1022" s="3">
        <f t="shared" ca="1" si="110"/>
        <v>11.428795482295483</v>
      </c>
      <c r="K1022" s="3">
        <f t="shared" ca="1" si="111"/>
        <v>21.563930655813241</v>
      </c>
    </row>
    <row r="1023" spans="3:11" x14ac:dyDescent="0.35">
      <c r="C1023" t="str">
        <f t="shared" ca="1" si="105"/>
        <v>1Q2024</v>
      </c>
      <c r="D1023" vm="2033">
        <f ca="1"/>
        <v>45427</v>
      </c>
      <c r="E1023" vm="2034">
        <f ca="1"/>
        <v>94.63</v>
      </c>
      <c r="F1023" s="3">
        <f t="shared" ca="1" si="106"/>
        <v>0.60516470109800735</v>
      </c>
      <c r="G1023" s="3">
        <f t="shared" ca="1" si="107"/>
        <v>1.9983733224888165</v>
      </c>
      <c r="H1023" s="3">
        <f t="shared" ca="1" si="108"/>
        <v>1.0591297275315168</v>
      </c>
      <c r="I1023" s="3">
        <f t="shared" ca="1" si="109"/>
        <v>39.09266346347691</v>
      </c>
      <c r="J1023" s="3">
        <f t="shared" ca="1" si="110"/>
        <v>11.838378612128611</v>
      </c>
      <c r="K1023" s="3">
        <f t="shared" ca="1" si="111"/>
        <v>22.33673494854861</v>
      </c>
    </row>
    <row r="1024" spans="3:11" x14ac:dyDescent="0.35">
      <c r="C1024" t="str">
        <f t="shared" ca="1" si="105"/>
        <v>1Q2024</v>
      </c>
      <c r="D1024" vm="2035">
        <f ca="1"/>
        <v>45428</v>
      </c>
      <c r="E1024" vm="2036">
        <f ca="1"/>
        <v>94.358999999999995</v>
      </c>
      <c r="F1024" s="3">
        <f t="shared" ca="1" si="106"/>
        <v>0.60516470109800735</v>
      </c>
      <c r="G1024" s="3">
        <f t="shared" ca="1" si="107"/>
        <v>1.9983733224888165</v>
      </c>
      <c r="H1024" s="3">
        <f t="shared" ca="1" si="108"/>
        <v>1.0591297275315168</v>
      </c>
      <c r="I1024" s="3">
        <f t="shared" ca="1" si="109"/>
        <v>38.980710469726496</v>
      </c>
      <c r="J1024" s="3">
        <f t="shared" ca="1" si="110"/>
        <v>11.804476037851037</v>
      </c>
      <c r="K1024" s="3">
        <f t="shared" ca="1" si="111"/>
        <v>22.272767336046691</v>
      </c>
    </row>
    <row r="1025" spans="3:11" x14ac:dyDescent="0.35">
      <c r="C1025" t="str">
        <f t="shared" ca="1" si="105"/>
        <v>1Q2024</v>
      </c>
      <c r="D1025" vm="2037">
        <f ca="1"/>
        <v>45429</v>
      </c>
      <c r="E1025" vm="2038">
        <f ca="1"/>
        <v>92.478999999999999</v>
      </c>
      <c r="F1025" s="3">
        <f t="shared" ca="1" si="106"/>
        <v>0.60516470109800735</v>
      </c>
      <c r="G1025" s="3">
        <f t="shared" ca="1" si="107"/>
        <v>1.9983733224888165</v>
      </c>
      <c r="H1025" s="3">
        <f t="shared" ca="1" si="108"/>
        <v>1.0591297275315168</v>
      </c>
      <c r="I1025" s="3">
        <f t="shared" ca="1" si="109"/>
        <v>38.204062395000335</v>
      </c>
      <c r="J1025" s="3">
        <f t="shared" ca="1" si="110"/>
        <v>11.569284747659749</v>
      </c>
      <c r="K1025" s="3">
        <f t="shared" ca="1" si="111"/>
        <v>21.829006776992784</v>
      </c>
    </row>
    <row r="1026" spans="3:11" x14ac:dyDescent="0.35">
      <c r="C1026" t="str">
        <f t="shared" ca="1" si="105"/>
        <v>1Q2024</v>
      </c>
      <c r="D1026" vm="2039">
        <f ca="1"/>
        <v>45432</v>
      </c>
      <c r="E1026" vm="2040">
        <f ca="1"/>
        <v>94.78</v>
      </c>
      <c r="F1026" s="3">
        <f t="shared" ca="1" si="106"/>
        <v>0.60516470109800735</v>
      </c>
      <c r="G1026" s="3">
        <f t="shared" ca="1" si="107"/>
        <v>1.9983733224888165</v>
      </c>
      <c r="H1026" s="3">
        <f t="shared" ca="1" si="108"/>
        <v>1.0591297275315168</v>
      </c>
      <c r="I1026" s="3">
        <f t="shared" ca="1" si="109"/>
        <v>39.154630065183788</v>
      </c>
      <c r="J1026" s="3">
        <f t="shared" ca="1" si="110"/>
        <v>11.857143874643876</v>
      </c>
      <c r="K1026" s="3">
        <f t="shared" ca="1" si="111"/>
        <v>22.372141376132699</v>
      </c>
    </row>
    <row r="1027" spans="3:11" x14ac:dyDescent="0.35">
      <c r="C1027" t="str">
        <f t="shared" ref="C1027:C1090" ca="1" si="112">LOOKUP(D1027,$N$2:$N$27,$M$2:$M$27)</f>
        <v>1Q2024</v>
      </c>
      <c r="D1027" vm="2041">
        <f ca="1"/>
        <v>45433</v>
      </c>
      <c r="E1027" vm="2042">
        <f ca="1"/>
        <v>95.385999999999996</v>
      </c>
      <c r="F1027" s="3">
        <f t="shared" ca="1" si="106"/>
        <v>0.60516470109800735</v>
      </c>
      <c r="G1027" s="3">
        <f t="shared" ca="1" si="107"/>
        <v>1.9983733224888165</v>
      </c>
      <c r="H1027" s="3">
        <f t="shared" ca="1" si="108"/>
        <v>1.0591297275315168</v>
      </c>
      <c r="I1027" s="3">
        <f t="shared" ca="1" si="109"/>
        <v>39.404975136079564</v>
      </c>
      <c r="J1027" s="3">
        <f t="shared" ca="1" si="110"/>
        <v>11.932955535205535</v>
      </c>
      <c r="K1027" s="3">
        <f t="shared" ca="1" si="111"/>
        <v>22.515183343572417</v>
      </c>
    </row>
    <row r="1028" spans="3:11" x14ac:dyDescent="0.35">
      <c r="C1028" t="str">
        <f t="shared" ca="1" si="112"/>
        <v>1Q2024</v>
      </c>
      <c r="D1028" vm="2043">
        <f ca="1"/>
        <v>45434</v>
      </c>
      <c r="E1028" vm="2044">
        <f ca="1"/>
        <v>94.95</v>
      </c>
      <c r="F1028" s="3">
        <f t="shared" ref="F1028:F1091" ca="1" si="113">VLOOKUP($C1028,$M$2:$R$27,4,0)/VLOOKUP($C1028,$M$2:$R$27,3,0)</f>
        <v>0.60516470109800735</v>
      </c>
      <c r="G1028" s="3">
        <f t="shared" ref="G1028:G1091" ca="1" si="114">VLOOKUP($C1028,$M$2:$R$27,6,0)/VLOOKUP($C1028,$M$2:$R$27,3,0)</f>
        <v>1.9983733224888165</v>
      </c>
      <c r="H1028" s="3">
        <f t="shared" ref="H1028:H1091" ca="1" si="115">VLOOKUP($C1028,$M$2:$R$27,5,0)/VLOOKUP($C1028,$M$2:$R$27,3,0)</f>
        <v>1.0591297275315168</v>
      </c>
      <c r="I1028" s="3">
        <f t="shared" ref="I1028:I1091" ca="1" si="116">$E1028/(F1028*4)</f>
        <v>39.224858880451585</v>
      </c>
      <c r="J1028" s="3">
        <f t="shared" ref="J1028:J1091" ca="1" si="117">$E1028/(G1028*4)</f>
        <v>11.878411172161172</v>
      </c>
      <c r="K1028" s="3">
        <f t="shared" ref="K1028:K1091" ca="1" si="118">$E1028/(H1028*4)</f>
        <v>22.412268660728</v>
      </c>
    </row>
    <row r="1029" spans="3:11" x14ac:dyDescent="0.35">
      <c r="C1029" t="str">
        <f t="shared" ca="1" si="112"/>
        <v>1Q2024</v>
      </c>
      <c r="D1029" vm="2045">
        <f ca="1"/>
        <v>45435</v>
      </c>
      <c r="E1029" vm="2046">
        <f ca="1"/>
        <v>103.79900000000001</v>
      </c>
      <c r="F1029" s="3">
        <f t="shared" ca="1" si="113"/>
        <v>0.60516470109800735</v>
      </c>
      <c r="G1029" s="3">
        <f t="shared" ca="1" si="114"/>
        <v>1.9983733224888165</v>
      </c>
      <c r="H1029" s="3">
        <f t="shared" ca="1" si="115"/>
        <v>1.0591297275315168</v>
      </c>
      <c r="I1029" s="3">
        <f t="shared" ca="1" si="116"/>
        <v>42.880475270479138</v>
      </c>
      <c r="J1029" s="3">
        <f t="shared" ca="1" si="117"/>
        <v>12.985436558811561</v>
      </c>
      <c r="K1029" s="3">
        <f t="shared" ca="1" si="118"/>
        <v>24.50101184533866</v>
      </c>
    </row>
    <row r="1030" spans="3:11" x14ac:dyDescent="0.35">
      <c r="C1030" t="str">
        <f t="shared" ca="1" si="112"/>
        <v>1Q2024</v>
      </c>
      <c r="D1030" vm="2047">
        <f ca="1"/>
        <v>45436</v>
      </c>
      <c r="E1030" vm="2048">
        <f ca="1"/>
        <v>106.46899999999999</v>
      </c>
      <c r="F1030" s="3">
        <f t="shared" ca="1" si="113"/>
        <v>0.60516470109800735</v>
      </c>
      <c r="G1030" s="3">
        <f t="shared" ca="1" si="114"/>
        <v>1.9983733224888165</v>
      </c>
      <c r="H1030" s="3">
        <f t="shared" ca="1" si="115"/>
        <v>1.0591297275315168</v>
      </c>
      <c r="I1030" s="3">
        <f t="shared" ca="1" si="116"/>
        <v>43.983480780861498</v>
      </c>
      <c r="J1030" s="3">
        <f t="shared" ca="1" si="117"/>
        <v>13.319458231583232</v>
      </c>
      <c r="K1030" s="3">
        <f t="shared" ca="1" si="118"/>
        <v>25.131246256335434</v>
      </c>
    </row>
    <row r="1031" spans="3:11" x14ac:dyDescent="0.35">
      <c r="C1031" t="str">
        <f t="shared" ca="1" si="112"/>
        <v>1Q2024</v>
      </c>
      <c r="D1031" vm="2049">
        <f ca="1"/>
        <v>45440</v>
      </c>
      <c r="E1031" vm="2050">
        <f ca="1"/>
        <v>113.901</v>
      </c>
      <c r="F1031" s="3">
        <f t="shared" ca="1" si="113"/>
        <v>0.60516470109800735</v>
      </c>
      <c r="G1031" s="3">
        <f t="shared" ca="1" si="114"/>
        <v>1.9983733224888165</v>
      </c>
      <c r="H1031" s="3">
        <f t="shared" ca="1" si="115"/>
        <v>1.0591297275315168</v>
      </c>
      <c r="I1031" s="3">
        <f t="shared" ca="1" si="116"/>
        <v>47.053719340098105</v>
      </c>
      <c r="J1031" s="3">
        <f t="shared" ca="1" si="117"/>
        <v>14.249214438339438</v>
      </c>
      <c r="K1031" s="3">
        <f t="shared" ca="1" si="118"/>
        <v>26.885516721701737</v>
      </c>
    </row>
    <row r="1032" spans="3:11" x14ac:dyDescent="0.35">
      <c r="C1032" t="str">
        <f t="shared" ca="1" si="112"/>
        <v>1Q2024</v>
      </c>
      <c r="D1032" vm="2051">
        <f ca="1"/>
        <v>45441</v>
      </c>
      <c r="E1032" vm="2052">
        <f ca="1"/>
        <v>114.825</v>
      </c>
      <c r="F1032" s="3">
        <f t="shared" ca="1" si="113"/>
        <v>0.60516470109800735</v>
      </c>
      <c r="G1032" s="3">
        <f t="shared" ca="1" si="114"/>
        <v>1.9983733224888165</v>
      </c>
      <c r="H1032" s="3">
        <f t="shared" ca="1" si="115"/>
        <v>1.0591297275315168</v>
      </c>
      <c r="I1032" s="3">
        <f t="shared" ca="1" si="116"/>
        <v>47.435433606612456</v>
      </c>
      <c r="J1032" s="3">
        <f t="shared" ca="1" si="117"/>
        <v>14.364808455433456</v>
      </c>
      <c r="K1032" s="3">
        <f t="shared" ca="1" si="118"/>
        <v>27.103620315619722</v>
      </c>
    </row>
    <row r="1033" spans="3:11" x14ac:dyDescent="0.35">
      <c r="C1033" t="str">
        <f t="shared" ca="1" si="112"/>
        <v>1Q2024</v>
      </c>
      <c r="D1033" vm="2053">
        <f ca="1"/>
        <v>45442</v>
      </c>
      <c r="E1033" vm="2054">
        <f ca="1"/>
        <v>110.5</v>
      </c>
      <c r="F1033" s="3">
        <f t="shared" ca="1" si="113"/>
        <v>0.60516470109800735</v>
      </c>
      <c r="G1033" s="3">
        <f t="shared" ca="1" si="114"/>
        <v>1.9983733224888165</v>
      </c>
      <c r="H1033" s="3">
        <f t="shared" ca="1" si="115"/>
        <v>1.0591297275315168</v>
      </c>
      <c r="I1033" s="3">
        <f t="shared" ca="1" si="116"/>
        <v>45.648729924064241</v>
      </c>
      <c r="J1033" s="3">
        <f t="shared" ca="1" si="117"/>
        <v>13.823743386243386</v>
      </c>
      <c r="K1033" s="3">
        <f t="shared" ca="1" si="118"/>
        <v>26.082734986945173</v>
      </c>
    </row>
    <row r="1034" spans="3:11" x14ac:dyDescent="0.35">
      <c r="C1034" t="str">
        <f t="shared" ca="1" si="112"/>
        <v>1Q2024</v>
      </c>
      <c r="D1034" vm="2055">
        <f ca="1"/>
        <v>45443</v>
      </c>
      <c r="E1034" vm="2056">
        <f ca="1"/>
        <v>109.633</v>
      </c>
      <c r="F1034" s="3">
        <f t="shared" ca="1" si="113"/>
        <v>0.60516470109800735</v>
      </c>
      <c r="G1034" s="3">
        <f t="shared" ca="1" si="114"/>
        <v>1.9983733224888165</v>
      </c>
      <c r="H1034" s="3">
        <f t="shared" ca="1" si="115"/>
        <v>1.0591297275315168</v>
      </c>
      <c r="I1034" s="3">
        <f t="shared" ca="1" si="116"/>
        <v>45.290562966198507</v>
      </c>
      <c r="J1034" s="3">
        <f t="shared" ca="1" si="117"/>
        <v>13.715280168905169</v>
      </c>
      <c r="K1034" s="3">
        <f t="shared" ca="1" si="118"/>
        <v>25.87808583550914</v>
      </c>
    </row>
    <row r="1035" spans="3:11" x14ac:dyDescent="0.35">
      <c r="C1035" t="str">
        <f t="shared" ca="1" si="112"/>
        <v>1Q2024</v>
      </c>
      <c r="D1035" vm="2057">
        <f ca="1"/>
        <v>45446</v>
      </c>
      <c r="E1035" vm="2058">
        <f ca="1"/>
        <v>115</v>
      </c>
      <c r="F1035" s="3">
        <f t="shared" ca="1" si="113"/>
        <v>0.60516470109800735</v>
      </c>
      <c r="G1035" s="3">
        <f t="shared" ca="1" si="114"/>
        <v>1.9983733224888165</v>
      </c>
      <c r="H1035" s="3">
        <f t="shared" ca="1" si="115"/>
        <v>1.0591297275315168</v>
      </c>
      <c r="I1035" s="3">
        <f t="shared" ca="1" si="116"/>
        <v>47.507727975270477</v>
      </c>
      <c r="J1035" s="3">
        <f t="shared" ca="1" si="117"/>
        <v>14.386701261701262</v>
      </c>
      <c r="K1035" s="3">
        <f t="shared" ca="1" si="118"/>
        <v>27.144927814467827</v>
      </c>
    </row>
    <row r="1036" spans="3:11" x14ac:dyDescent="0.35">
      <c r="C1036" t="str">
        <f t="shared" ca="1" si="112"/>
        <v>1Q2024</v>
      </c>
      <c r="D1036" vm="2059">
        <f ca="1"/>
        <v>45447</v>
      </c>
      <c r="E1036" vm="2060">
        <f ca="1"/>
        <v>116.437</v>
      </c>
      <c r="F1036" s="3">
        <f t="shared" ca="1" si="113"/>
        <v>0.60516470109800735</v>
      </c>
      <c r="G1036" s="3">
        <f t="shared" ca="1" si="114"/>
        <v>1.9983733224888165</v>
      </c>
      <c r="H1036" s="3">
        <f t="shared" ca="1" si="115"/>
        <v>1.0591297275315168</v>
      </c>
      <c r="I1036" s="3">
        <f t="shared" ca="1" si="116"/>
        <v>48.101368019622335</v>
      </c>
      <c r="J1036" s="3">
        <f t="shared" ca="1" si="117"/>
        <v>14.566472476597477</v>
      </c>
      <c r="K1036" s="3">
        <f t="shared" ca="1" si="118"/>
        <v>27.484121390723391</v>
      </c>
    </row>
    <row r="1037" spans="3:11" x14ac:dyDescent="0.35">
      <c r="C1037" t="str">
        <f t="shared" ca="1" si="112"/>
        <v>1Q2024</v>
      </c>
      <c r="D1037" vm="2061">
        <f ca="1"/>
        <v>45448</v>
      </c>
      <c r="E1037" vm="2062">
        <f ca="1"/>
        <v>122.44</v>
      </c>
      <c r="F1037" s="3">
        <f t="shared" ca="1" si="113"/>
        <v>0.60516470109800735</v>
      </c>
      <c r="G1037" s="3">
        <f t="shared" ca="1" si="114"/>
        <v>1.9983733224888165</v>
      </c>
      <c r="H1037" s="3">
        <f t="shared" ca="1" si="115"/>
        <v>1.0591297275315168</v>
      </c>
      <c r="I1037" s="3">
        <f t="shared" ca="1" si="116"/>
        <v>50.581271419931454</v>
      </c>
      <c r="J1037" s="3">
        <f t="shared" ca="1" si="117"/>
        <v>15.317458282458283</v>
      </c>
      <c r="K1037" s="3">
        <f t="shared" ca="1" si="118"/>
        <v>28.901086622638612</v>
      </c>
    </row>
    <row r="1038" spans="3:11" x14ac:dyDescent="0.35">
      <c r="C1038" t="str">
        <f t="shared" ca="1" si="112"/>
        <v>1Q2024</v>
      </c>
      <c r="D1038" vm="2063">
        <f ca="1"/>
        <v>45449</v>
      </c>
      <c r="E1038" vm="2064">
        <f ca="1"/>
        <v>120.998</v>
      </c>
      <c r="F1038" s="3">
        <f t="shared" ca="1" si="113"/>
        <v>0.60516470109800735</v>
      </c>
      <c r="G1038" s="3">
        <f t="shared" ca="1" si="114"/>
        <v>1.9983733224888165</v>
      </c>
      <c r="H1038" s="3">
        <f t="shared" ca="1" si="115"/>
        <v>1.0591297275315168</v>
      </c>
      <c r="I1038" s="3">
        <f t="shared" ca="1" si="116"/>
        <v>49.985565822189365</v>
      </c>
      <c r="J1038" s="3">
        <f t="shared" ca="1" si="117"/>
        <v>15.13706155881156</v>
      </c>
      <c r="K1038" s="3">
        <f t="shared" ca="1" si="118"/>
        <v>28.560712832130246</v>
      </c>
    </row>
    <row r="1039" spans="3:11" x14ac:dyDescent="0.35">
      <c r="C1039" t="str">
        <f t="shared" ca="1" si="112"/>
        <v>1Q2024</v>
      </c>
      <c r="D1039" vm="2065">
        <f ca="1"/>
        <v>45450</v>
      </c>
      <c r="E1039" vm="2066">
        <f ca="1"/>
        <v>120.88800000000001</v>
      </c>
      <c r="F1039" s="3">
        <f t="shared" ca="1" si="113"/>
        <v>0.60516470109800735</v>
      </c>
      <c r="G1039" s="3">
        <f t="shared" ca="1" si="114"/>
        <v>1.9983733224888165</v>
      </c>
      <c r="H1039" s="3">
        <f t="shared" ca="1" si="115"/>
        <v>1.0591297275315168</v>
      </c>
      <c r="I1039" s="3">
        <f t="shared" ca="1" si="116"/>
        <v>49.940123647604324</v>
      </c>
      <c r="J1039" s="3">
        <f t="shared" ca="1" si="117"/>
        <v>15.123300366300368</v>
      </c>
      <c r="K1039" s="3">
        <f t="shared" ca="1" si="118"/>
        <v>28.534748118568579</v>
      </c>
    </row>
    <row r="1040" spans="3:11" x14ac:dyDescent="0.35">
      <c r="C1040" t="str">
        <f t="shared" ca="1" si="112"/>
        <v>1Q2024</v>
      </c>
      <c r="D1040" vm="2067">
        <f ca="1"/>
        <v>45453</v>
      </c>
      <c r="E1040" vm="2068">
        <f ca="1"/>
        <v>121.79</v>
      </c>
      <c r="F1040" s="3">
        <f t="shared" ca="1" si="113"/>
        <v>0.60516470109800735</v>
      </c>
      <c r="G1040" s="3">
        <f t="shared" ca="1" si="114"/>
        <v>1.9983733224888165</v>
      </c>
      <c r="H1040" s="3">
        <f t="shared" ca="1" si="115"/>
        <v>1.0591297275315168</v>
      </c>
      <c r="I1040" s="3">
        <f t="shared" ca="1" si="116"/>
        <v>50.312749479201663</v>
      </c>
      <c r="J1040" s="3">
        <f t="shared" ca="1" si="117"/>
        <v>15.236142144892147</v>
      </c>
      <c r="K1040" s="3">
        <f t="shared" ca="1" si="118"/>
        <v>28.747658769774233</v>
      </c>
    </row>
    <row r="1041" spans="3:11" x14ac:dyDescent="0.35">
      <c r="C1041" t="str">
        <f t="shared" ca="1" si="112"/>
        <v>1Q2024</v>
      </c>
      <c r="D1041" vm="2069">
        <f ca="1"/>
        <v>45454</v>
      </c>
      <c r="E1041" vm="2070">
        <f ca="1"/>
        <v>120.91</v>
      </c>
      <c r="F1041" s="3">
        <f t="shared" ca="1" si="113"/>
        <v>0.60516470109800735</v>
      </c>
      <c r="G1041" s="3">
        <f t="shared" ca="1" si="114"/>
        <v>1.9983733224888165</v>
      </c>
      <c r="H1041" s="3">
        <f t="shared" ca="1" si="115"/>
        <v>1.0591297275315168</v>
      </c>
      <c r="I1041" s="3">
        <f t="shared" ca="1" si="116"/>
        <v>49.949212082521335</v>
      </c>
      <c r="J1041" s="3">
        <f t="shared" ca="1" si="117"/>
        <v>15.126052604802606</v>
      </c>
      <c r="K1041" s="3">
        <f t="shared" ca="1" si="118"/>
        <v>28.53994106128091</v>
      </c>
    </row>
    <row r="1042" spans="3:11" x14ac:dyDescent="0.35">
      <c r="C1042" t="str">
        <f t="shared" ca="1" si="112"/>
        <v>1Q2024</v>
      </c>
      <c r="D1042" vm="2071">
        <f ca="1"/>
        <v>45455</v>
      </c>
      <c r="E1042" vm="2072">
        <f ca="1"/>
        <v>125.2</v>
      </c>
      <c r="F1042" s="3">
        <f t="shared" ca="1" si="113"/>
        <v>0.60516470109800735</v>
      </c>
      <c r="G1042" s="3">
        <f t="shared" ca="1" si="114"/>
        <v>1.9983733224888165</v>
      </c>
      <c r="H1042" s="3">
        <f t="shared" ca="1" si="115"/>
        <v>1.0591297275315168</v>
      </c>
      <c r="I1042" s="3">
        <f t="shared" ca="1" si="116"/>
        <v>51.721456891337944</v>
      </c>
      <c r="J1042" s="3">
        <f t="shared" ca="1" si="117"/>
        <v>15.662739112739114</v>
      </c>
      <c r="K1042" s="3">
        <f t="shared" ca="1" si="118"/>
        <v>29.552564890185842</v>
      </c>
    </row>
    <row r="1043" spans="3:11" x14ac:dyDescent="0.35">
      <c r="C1043" t="str">
        <f t="shared" ca="1" si="112"/>
        <v>1Q2024</v>
      </c>
      <c r="D1043" vm="2073">
        <f ca="1"/>
        <v>45456</v>
      </c>
      <c r="E1043" vm="2074">
        <f ca="1"/>
        <v>129.61000000000001</v>
      </c>
      <c r="F1043" s="3">
        <f t="shared" ca="1" si="113"/>
        <v>0.60516470109800735</v>
      </c>
      <c r="G1043" s="3">
        <f t="shared" ca="1" si="114"/>
        <v>1.9983733224888165</v>
      </c>
      <c r="H1043" s="3">
        <f t="shared" ca="1" si="115"/>
        <v>1.0591297275315168</v>
      </c>
      <c r="I1043" s="3">
        <f t="shared" ca="1" si="116"/>
        <v>53.543274981520064</v>
      </c>
      <c r="J1043" s="3">
        <f t="shared" ca="1" si="117"/>
        <v>16.214437830687832</v>
      </c>
      <c r="K1043" s="3">
        <f t="shared" ca="1" si="118"/>
        <v>30.593513861158044</v>
      </c>
    </row>
    <row r="1044" spans="3:11" x14ac:dyDescent="0.35">
      <c r="C1044" t="str">
        <f t="shared" ca="1" si="112"/>
        <v>1Q2024</v>
      </c>
      <c r="D1044" vm="2075">
        <f ca="1"/>
        <v>45457</v>
      </c>
      <c r="E1044" vm="2076">
        <f ca="1"/>
        <v>131.88</v>
      </c>
      <c r="F1044" s="3">
        <f t="shared" ca="1" si="113"/>
        <v>0.60516470109800735</v>
      </c>
      <c r="G1044" s="3">
        <f t="shared" ca="1" si="114"/>
        <v>1.9983733224888165</v>
      </c>
      <c r="H1044" s="3">
        <f t="shared" ca="1" si="115"/>
        <v>1.0591297275315168</v>
      </c>
      <c r="I1044" s="3">
        <f t="shared" ca="1" si="116"/>
        <v>54.481036220684089</v>
      </c>
      <c r="J1044" s="3">
        <f t="shared" ca="1" si="117"/>
        <v>16.498418803418804</v>
      </c>
      <c r="K1044" s="3">
        <f t="shared" ca="1" si="118"/>
        <v>31.129331131930581</v>
      </c>
    </row>
    <row r="1045" spans="3:11" x14ac:dyDescent="0.35">
      <c r="C1045" t="str">
        <f t="shared" ca="1" si="112"/>
        <v>1Q2024</v>
      </c>
      <c r="D1045" vm="2077">
        <f ca="1"/>
        <v>45460</v>
      </c>
      <c r="E1045" vm="2078">
        <f ca="1"/>
        <v>130.97999999999999</v>
      </c>
      <c r="F1045" s="3">
        <f t="shared" ca="1" si="113"/>
        <v>0.60516470109800735</v>
      </c>
      <c r="G1045" s="3">
        <f t="shared" ca="1" si="114"/>
        <v>1.9983733224888165</v>
      </c>
      <c r="H1045" s="3">
        <f t="shared" ca="1" si="115"/>
        <v>1.0591297275315168</v>
      </c>
      <c r="I1045" s="3">
        <f t="shared" ca="1" si="116"/>
        <v>54.109236610442842</v>
      </c>
      <c r="J1045" s="3">
        <f t="shared" ca="1" si="117"/>
        <v>16.385827228327226</v>
      </c>
      <c r="K1045" s="3">
        <f t="shared" ca="1" si="118"/>
        <v>30.91689256642605</v>
      </c>
    </row>
    <row r="1046" spans="3:11" x14ac:dyDescent="0.35">
      <c r="C1046" t="str">
        <f t="shared" ca="1" si="112"/>
        <v>1Q2024</v>
      </c>
      <c r="D1046" vm="2079">
        <f ca="1"/>
        <v>45461</v>
      </c>
      <c r="E1046" vm="2080">
        <f ca="1"/>
        <v>135.58000000000001</v>
      </c>
      <c r="F1046" s="3">
        <f t="shared" ca="1" si="113"/>
        <v>0.60516470109800735</v>
      </c>
      <c r="G1046" s="3">
        <f t="shared" ca="1" si="114"/>
        <v>1.9983733224888165</v>
      </c>
      <c r="H1046" s="3">
        <f t="shared" ca="1" si="115"/>
        <v>1.0591297275315168</v>
      </c>
      <c r="I1046" s="3">
        <f t="shared" ca="1" si="116"/>
        <v>56.00954572945367</v>
      </c>
      <c r="J1046" s="3">
        <f t="shared" ca="1" si="117"/>
        <v>16.96129527879528</v>
      </c>
      <c r="K1046" s="3">
        <f t="shared" ca="1" si="118"/>
        <v>32.002689679004767</v>
      </c>
    </row>
    <row r="1047" spans="3:11" x14ac:dyDescent="0.35">
      <c r="C1047" t="str">
        <f t="shared" ca="1" si="112"/>
        <v>1Q2024</v>
      </c>
      <c r="D1047" vm="2081">
        <f ca="1"/>
        <v>45463</v>
      </c>
      <c r="E1047" vm="2082">
        <f ca="1"/>
        <v>130.78</v>
      </c>
      <c r="F1047" s="3">
        <f t="shared" ca="1" si="113"/>
        <v>0.60516470109800735</v>
      </c>
      <c r="G1047" s="3">
        <f t="shared" ca="1" si="114"/>
        <v>1.9983733224888165</v>
      </c>
      <c r="H1047" s="3">
        <f t="shared" ca="1" si="115"/>
        <v>1.0591297275315168</v>
      </c>
      <c r="I1047" s="3">
        <f t="shared" ca="1" si="116"/>
        <v>54.026614474833679</v>
      </c>
      <c r="J1047" s="3">
        <f t="shared" ca="1" si="117"/>
        <v>16.360806878306878</v>
      </c>
      <c r="K1047" s="3">
        <f t="shared" ca="1" si="118"/>
        <v>30.869683996313935</v>
      </c>
    </row>
    <row r="1048" spans="3:11" x14ac:dyDescent="0.35">
      <c r="C1048" t="str">
        <f t="shared" ca="1" si="112"/>
        <v>1Q2024</v>
      </c>
      <c r="D1048" vm="2083">
        <f ca="1"/>
        <v>45464</v>
      </c>
      <c r="E1048" vm="2084">
        <f ca="1"/>
        <v>126.57</v>
      </c>
      <c r="F1048" s="3">
        <f t="shared" ca="1" si="113"/>
        <v>0.60516470109800735</v>
      </c>
      <c r="G1048" s="3">
        <f t="shared" ca="1" si="114"/>
        <v>1.9983733224888165</v>
      </c>
      <c r="H1048" s="3">
        <f t="shared" ca="1" si="115"/>
        <v>1.0591297275315168</v>
      </c>
      <c r="I1048" s="3">
        <f t="shared" ca="1" si="116"/>
        <v>52.287418520260729</v>
      </c>
      <c r="J1048" s="3">
        <f t="shared" ca="1" si="117"/>
        <v>15.834128510378511</v>
      </c>
      <c r="K1048" s="3">
        <f t="shared" ca="1" si="118"/>
        <v>29.875943595453847</v>
      </c>
    </row>
    <row r="1049" spans="3:11" x14ac:dyDescent="0.35">
      <c r="C1049" t="str">
        <f t="shared" ca="1" si="112"/>
        <v>1Q2024</v>
      </c>
      <c r="D1049" vm="2085">
        <f ca="1"/>
        <v>45467</v>
      </c>
      <c r="E1049" vm="2086">
        <f ca="1"/>
        <v>118.11</v>
      </c>
      <c r="F1049" s="3">
        <f t="shared" ca="1" si="113"/>
        <v>0.60516470109800735</v>
      </c>
      <c r="G1049" s="3">
        <f t="shared" ca="1" si="114"/>
        <v>1.9983733224888165</v>
      </c>
      <c r="H1049" s="3">
        <f t="shared" ca="1" si="115"/>
        <v>1.0591297275315168</v>
      </c>
      <c r="I1049" s="3">
        <f t="shared" ca="1" si="116"/>
        <v>48.792502183993008</v>
      </c>
      <c r="J1049" s="3">
        <f t="shared" ca="1" si="117"/>
        <v>14.775767704517705</v>
      </c>
      <c r="K1049" s="3">
        <f t="shared" ca="1" si="118"/>
        <v>27.879021079711261</v>
      </c>
    </row>
    <row r="1050" spans="3:11" x14ac:dyDescent="0.35">
      <c r="C1050" t="str">
        <f t="shared" ca="1" si="112"/>
        <v>1Q2024</v>
      </c>
      <c r="D1050" vm="2087">
        <f ca="1"/>
        <v>45468</v>
      </c>
      <c r="E1050" vm="2088">
        <f ca="1"/>
        <v>126.09</v>
      </c>
      <c r="F1050" s="3">
        <f t="shared" ca="1" si="113"/>
        <v>0.60516470109800735</v>
      </c>
      <c r="G1050" s="3">
        <f t="shared" ca="1" si="114"/>
        <v>1.9983733224888165</v>
      </c>
      <c r="H1050" s="3">
        <f t="shared" ca="1" si="115"/>
        <v>1.0591297275315168</v>
      </c>
      <c r="I1050" s="3">
        <f t="shared" ca="1" si="116"/>
        <v>52.089125394798735</v>
      </c>
      <c r="J1050" s="3">
        <f t="shared" ca="1" si="117"/>
        <v>15.774079670329671</v>
      </c>
      <c r="K1050" s="3">
        <f t="shared" ca="1" si="118"/>
        <v>29.762643027184769</v>
      </c>
    </row>
    <row r="1051" spans="3:11" x14ac:dyDescent="0.35">
      <c r="C1051" t="str">
        <f t="shared" ca="1" si="112"/>
        <v>1Q2024</v>
      </c>
      <c r="D1051" vm="2089">
        <f ca="1"/>
        <v>45469</v>
      </c>
      <c r="E1051" vm="2090">
        <f ca="1"/>
        <v>126.4</v>
      </c>
      <c r="F1051" s="3">
        <f t="shared" ca="1" si="113"/>
        <v>0.60516470109800735</v>
      </c>
      <c r="G1051" s="3">
        <f t="shared" ca="1" si="114"/>
        <v>1.9983733224888165</v>
      </c>
      <c r="H1051" s="3">
        <f t="shared" ca="1" si="115"/>
        <v>1.0591297275315168</v>
      </c>
      <c r="I1051" s="3">
        <f t="shared" ca="1" si="116"/>
        <v>52.217189704992947</v>
      </c>
      <c r="J1051" s="3">
        <f t="shared" ca="1" si="117"/>
        <v>15.812861212861215</v>
      </c>
      <c r="K1051" s="3">
        <f t="shared" ca="1" si="118"/>
        <v>29.835816310858551</v>
      </c>
    </row>
    <row r="1052" spans="3:11" x14ac:dyDescent="0.35">
      <c r="C1052" t="str">
        <f t="shared" ca="1" si="112"/>
        <v>1Q2024</v>
      </c>
      <c r="D1052" vm="2091">
        <f ca="1"/>
        <v>45470</v>
      </c>
      <c r="E1052" vm="2092">
        <f ca="1"/>
        <v>123.99</v>
      </c>
      <c r="F1052" s="3">
        <f t="shared" ca="1" si="113"/>
        <v>0.60516470109800735</v>
      </c>
      <c r="G1052" s="3">
        <f t="shared" ca="1" si="114"/>
        <v>1.9983733224888165</v>
      </c>
      <c r="H1052" s="3">
        <f t="shared" ca="1" si="115"/>
        <v>1.0591297275315168</v>
      </c>
      <c r="I1052" s="3">
        <f t="shared" ca="1" si="116"/>
        <v>51.221592970902485</v>
      </c>
      <c r="J1052" s="3">
        <f t="shared" ca="1" si="117"/>
        <v>15.511365995115995</v>
      </c>
      <c r="K1052" s="3">
        <f t="shared" ca="1" si="118"/>
        <v>29.266953041007525</v>
      </c>
    </row>
    <row r="1053" spans="3:11" x14ac:dyDescent="0.35">
      <c r="C1053" t="str">
        <f t="shared" ca="1" si="112"/>
        <v>1Q2024</v>
      </c>
      <c r="D1053" vm="2093">
        <f ca="1"/>
        <v>45471</v>
      </c>
      <c r="E1053" vm="2094">
        <f ca="1"/>
        <v>123.54</v>
      </c>
      <c r="F1053" s="3">
        <f t="shared" ca="1" si="113"/>
        <v>0.60516470109800735</v>
      </c>
      <c r="G1053" s="3">
        <f t="shared" ca="1" si="114"/>
        <v>1.9983733224888165</v>
      </c>
      <c r="H1053" s="3">
        <f t="shared" ca="1" si="115"/>
        <v>1.0591297275315168</v>
      </c>
      <c r="I1053" s="3">
        <f t="shared" ca="1" si="116"/>
        <v>51.035693165781872</v>
      </c>
      <c r="J1053" s="3">
        <f t="shared" ca="1" si="117"/>
        <v>15.455070207570209</v>
      </c>
      <c r="K1053" s="3">
        <f t="shared" ca="1" si="118"/>
        <v>29.160733758255265</v>
      </c>
    </row>
    <row r="1054" spans="3:11" x14ac:dyDescent="0.35">
      <c r="C1054" t="str">
        <f t="shared" ca="1" si="112"/>
        <v>1Q2024</v>
      </c>
      <c r="D1054" vm="2095">
        <f ca="1"/>
        <v>45474</v>
      </c>
      <c r="E1054" vm="2096">
        <f ca="1"/>
        <v>124.3</v>
      </c>
      <c r="F1054" s="3">
        <f t="shared" ca="1" si="113"/>
        <v>0.60516470109800735</v>
      </c>
      <c r="G1054" s="3">
        <f t="shared" ca="1" si="114"/>
        <v>1.9983733224888165</v>
      </c>
      <c r="H1054" s="3">
        <f t="shared" ca="1" si="115"/>
        <v>1.0591297275315168</v>
      </c>
      <c r="I1054" s="3">
        <f t="shared" ca="1" si="116"/>
        <v>51.349657281096697</v>
      </c>
      <c r="J1054" s="3">
        <f t="shared" ca="1" si="117"/>
        <v>15.550147537647538</v>
      </c>
      <c r="K1054" s="3">
        <f t="shared" ca="1" si="118"/>
        <v>29.340126324681311</v>
      </c>
    </row>
    <row r="1055" spans="3:11" x14ac:dyDescent="0.35">
      <c r="C1055" t="str">
        <f t="shared" ca="1" si="112"/>
        <v>1Q2024</v>
      </c>
      <c r="D1055" vm="2097">
        <f ca="1"/>
        <v>45475</v>
      </c>
      <c r="E1055" vm="2098">
        <f ca="1"/>
        <v>122.67</v>
      </c>
      <c r="F1055" s="3">
        <f t="shared" ca="1" si="113"/>
        <v>0.60516470109800735</v>
      </c>
      <c r="G1055" s="3">
        <f t="shared" ca="1" si="114"/>
        <v>1.9983733224888165</v>
      </c>
      <c r="H1055" s="3">
        <f t="shared" ca="1" si="115"/>
        <v>1.0591297275315168</v>
      </c>
      <c r="I1055" s="3">
        <f t="shared" ca="1" si="116"/>
        <v>50.676286875881992</v>
      </c>
      <c r="J1055" s="3">
        <f t="shared" ca="1" si="117"/>
        <v>15.346231684981685</v>
      </c>
      <c r="K1055" s="3">
        <f t="shared" ca="1" si="118"/>
        <v>28.955376478267549</v>
      </c>
    </row>
    <row r="1056" spans="3:11" x14ac:dyDescent="0.35">
      <c r="C1056" t="str">
        <f t="shared" ca="1" si="112"/>
        <v>1Q2024</v>
      </c>
      <c r="D1056" vm="2099">
        <f ca="1"/>
        <v>45476</v>
      </c>
      <c r="E1056" vm="2100">
        <f ca="1"/>
        <v>128.28</v>
      </c>
      <c r="F1056" s="3">
        <f t="shared" ca="1" si="113"/>
        <v>0.60516470109800735</v>
      </c>
      <c r="G1056" s="3">
        <f t="shared" ca="1" si="114"/>
        <v>1.9983733224888165</v>
      </c>
      <c r="H1056" s="3">
        <f t="shared" ca="1" si="115"/>
        <v>1.0591297275315168</v>
      </c>
      <c r="I1056" s="3">
        <f t="shared" ca="1" si="116"/>
        <v>52.993837779719101</v>
      </c>
      <c r="J1056" s="3">
        <f t="shared" ca="1" si="117"/>
        <v>16.048052503052503</v>
      </c>
      <c r="K1056" s="3">
        <f t="shared" ca="1" si="118"/>
        <v>30.279576869912457</v>
      </c>
    </row>
    <row r="1057" spans="3:11" x14ac:dyDescent="0.35">
      <c r="C1057" t="str">
        <f t="shared" ca="1" si="112"/>
        <v>1Q2024</v>
      </c>
      <c r="D1057" vm="2101">
        <f ca="1"/>
        <v>45478</v>
      </c>
      <c r="E1057" vm="2102">
        <f ca="1"/>
        <v>125.83</v>
      </c>
      <c r="F1057" s="3">
        <f t="shared" ca="1" si="113"/>
        <v>0.60516470109800735</v>
      </c>
      <c r="G1057" s="3">
        <f t="shared" ca="1" si="114"/>
        <v>1.9983733224888165</v>
      </c>
      <c r="H1057" s="3">
        <f t="shared" ca="1" si="115"/>
        <v>1.0591297275315168</v>
      </c>
      <c r="I1057" s="3">
        <f t="shared" ca="1" si="116"/>
        <v>51.981716618506816</v>
      </c>
      <c r="J1057" s="3">
        <f t="shared" ca="1" si="117"/>
        <v>15.741553215303217</v>
      </c>
      <c r="K1057" s="3">
        <f t="shared" ca="1" si="118"/>
        <v>29.701271886039013</v>
      </c>
    </row>
    <row r="1058" spans="3:11" x14ac:dyDescent="0.35">
      <c r="C1058" t="str">
        <f t="shared" ca="1" si="112"/>
        <v>1Q2024</v>
      </c>
      <c r="D1058" vm="2103">
        <f ca="1"/>
        <v>45481</v>
      </c>
      <c r="E1058" vm="2104">
        <f ca="1"/>
        <v>128.19999999999999</v>
      </c>
      <c r="F1058" s="3">
        <f t="shared" ca="1" si="113"/>
        <v>0.60516470109800735</v>
      </c>
      <c r="G1058" s="3">
        <f t="shared" ca="1" si="114"/>
        <v>1.9983733224888165</v>
      </c>
      <c r="H1058" s="3">
        <f t="shared" ca="1" si="115"/>
        <v>1.0591297275315168</v>
      </c>
      <c r="I1058" s="3">
        <f t="shared" ca="1" si="116"/>
        <v>52.960788925475434</v>
      </c>
      <c r="J1058" s="3">
        <f t="shared" ca="1" si="117"/>
        <v>16.038044363044364</v>
      </c>
      <c r="K1058" s="3">
        <f t="shared" ca="1" si="118"/>
        <v>30.260693441867609</v>
      </c>
    </row>
    <row r="1059" spans="3:11" x14ac:dyDescent="0.35">
      <c r="C1059" t="str">
        <f t="shared" ca="1" si="112"/>
        <v>1Q2024</v>
      </c>
      <c r="D1059" vm="2105">
        <f ca="1"/>
        <v>45482</v>
      </c>
      <c r="E1059" vm="2106">
        <f ca="1"/>
        <v>131.38</v>
      </c>
      <c r="F1059" s="3">
        <f t="shared" ca="1" si="113"/>
        <v>0.60516470109800735</v>
      </c>
      <c r="G1059" s="3">
        <f t="shared" ca="1" si="114"/>
        <v>1.9983733224888165</v>
      </c>
      <c r="H1059" s="3">
        <f t="shared" ca="1" si="115"/>
        <v>1.0591297275315168</v>
      </c>
      <c r="I1059" s="3">
        <f t="shared" ca="1" si="116"/>
        <v>54.274480881661177</v>
      </c>
      <c r="J1059" s="3">
        <f t="shared" ca="1" si="117"/>
        <v>16.43586792836793</v>
      </c>
      <c r="K1059" s="3">
        <f t="shared" ca="1" si="118"/>
        <v>31.011309706650284</v>
      </c>
    </row>
    <row r="1060" spans="3:11" x14ac:dyDescent="0.35">
      <c r="C1060" t="str">
        <f t="shared" ca="1" si="112"/>
        <v>1Q2024</v>
      </c>
      <c r="D1060" vm="2107">
        <f ca="1"/>
        <v>45483</v>
      </c>
      <c r="E1060" vm="2108">
        <f ca="1"/>
        <v>134.91</v>
      </c>
      <c r="F1060" s="3">
        <f t="shared" ca="1" si="113"/>
        <v>0.60516470109800735</v>
      </c>
      <c r="G1060" s="3">
        <f t="shared" ca="1" si="114"/>
        <v>1.9983733224888165</v>
      </c>
      <c r="H1060" s="3">
        <f t="shared" ca="1" si="115"/>
        <v>1.0591297275315168</v>
      </c>
      <c r="I1060" s="3">
        <f t="shared" ca="1" si="116"/>
        <v>55.732761575162954</v>
      </c>
      <c r="J1060" s="3">
        <f t="shared" ca="1" si="117"/>
        <v>16.877477106227108</v>
      </c>
      <c r="K1060" s="3">
        <f t="shared" ca="1" si="118"/>
        <v>31.844540969129167</v>
      </c>
    </row>
    <row r="1061" spans="3:11" x14ac:dyDescent="0.35">
      <c r="C1061" t="str">
        <f t="shared" ca="1" si="112"/>
        <v>1Q2024</v>
      </c>
      <c r="D1061" vm="2109">
        <f ca="1"/>
        <v>45484</v>
      </c>
      <c r="E1061" vm="2110">
        <f ca="1"/>
        <v>127.4</v>
      </c>
      <c r="F1061" s="3">
        <f t="shared" ca="1" si="113"/>
        <v>0.60516470109800735</v>
      </c>
      <c r="G1061" s="3">
        <f t="shared" ca="1" si="114"/>
        <v>1.9983733224888165</v>
      </c>
      <c r="H1061" s="3">
        <f t="shared" ca="1" si="115"/>
        <v>1.0591297275315168</v>
      </c>
      <c r="I1061" s="3">
        <f t="shared" ca="1" si="116"/>
        <v>52.630300383038772</v>
      </c>
      <c r="J1061" s="3">
        <f t="shared" ca="1" si="117"/>
        <v>15.937962962962965</v>
      </c>
      <c r="K1061" s="3">
        <f t="shared" ca="1" si="118"/>
        <v>30.071859161419141</v>
      </c>
    </row>
    <row r="1062" spans="3:11" x14ac:dyDescent="0.35">
      <c r="C1062" t="str">
        <f t="shared" ca="1" si="112"/>
        <v>1Q2024</v>
      </c>
      <c r="D1062" vm="2111">
        <f ca="1"/>
        <v>45485</v>
      </c>
      <c r="E1062" vm="2112">
        <f ca="1"/>
        <v>129.24</v>
      </c>
      <c r="F1062" s="3">
        <f t="shared" ca="1" si="113"/>
        <v>0.60516470109800735</v>
      </c>
      <c r="G1062" s="3">
        <f t="shared" ca="1" si="114"/>
        <v>1.9983733224888165</v>
      </c>
      <c r="H1062" s="3">
        <f t="shared" ca="1" si="115"/>
        <v>1.0591297275315168</v>
      </c>
      <c r="I1062" s="3">
        <f t="shared" ca="1" si="116"/>
        <v>53.390424030643103</v>
      </c>
      <c r="J1062" s="3">
        <f t="shared" ca="1" si="117"/>
        <v>16.168150183150185</v>
      </c>
      <c r="K1062" s="3">
        <f t="shared" ca="1" si="118"/>
        <v>30.506178006450625</v>
      </c>
    </row>
    <row r="1063" spans="3:11" x14ac:dyDescent="0.35">
      <c r="C1063" t="str">
        <f t="shared" ca="1" si="112"/>
        <v>1Q2024</v>
      </c>
      <c r="D1063" vm="2113">
        <f ca="1"/>
        <v>45488</v>
      </c>
      <c r="E1063" vm="2114">
        <f ca="1"/>
        <v>128.44</v>
      </c>
      <c r="F1063" s="3">
        <f t="shared" ca="1" si="113"/>
        <v>0.60516470109800735</v>
      </c>
      <c r="G1063" s="3">
        <f t="shared" ca="1" si="114"/>
        <v>1.9983733224888165</v>
      </c>
      <c r="H1063" s="3">
        <f t="shared" ca="1" si="115"/>
        <v>1.0591297275315168</v>
      </c>
      <c r="I1063" s="3">
        <f t="shared" ca="1" si="116"/>
        <v>53.059935488206435</v>
      </c>
      <c r="J1063" s="3">
        <f t="shared" ca="1" si="117"/>
        <v>16.068068783068785</v>
      </c>
      <c r="K1063" s="3">
        <f t="shared" ca="1" si="118"/>
        <v>30.317343726002154</v>
      </c>
    </row>
    <row r="1064" spans="3:11" x14ac:dyDescent="0.35">
      <c r="C1064" t="str">
        <f t="shared" ca="1" si="112"/>
        <v>1Q2024</v>
      </c>
      <c r="D1064" vm="2115">
        <f ca="1"/>
        <v>45489</v>
      </c>
      <c r="E1064" vm="2116">
        <f ca="1"/>
        <v>126.36</v>
      </c>
      <c r="F1064" s="3">
        <f t="shared" ca="1" si="113"/>
        <v>0.60516470109800735</v>
      </c>
      <c r="G1064" s="3">
        <f t="shared" ca="1" si="114"/>
        <v>1.9983733224888165</v>
      </c>
      <c r="H1064" s="3">
        <f t="shared" ca="1" si="115"/>
        <v>1.0591297275315168</v>
      </c>
      <c r="I1064" s="3">
        <f t="shared" ca="1" si="116"/>
        <v>52.20066527787111</v>
      </c>
      <c r="J1064" s="3">
        <f t="shared" ca="1" si="117"/>
        <v>15.807857142857143</v>
      </c>
      <c r="K1064" s="3">
        <f t="shared" ca="1" si="118"/>
        <v>29.826374596836125</v>
      </c>
    </row>
    <row r="1065" spans="3:11" x14ac:dyDescent="0.35">
      <c r="C1065" t="str">
        <f t="shared" ca="1" si="112"/>
        <v>1Q2024</v>
      </c>
      <c r="D1065" vm="2117">
        <f ca="1"/>
        <v>45490</v>
      </c>
      <c r="E1065" vm="2118">
        <f ca="1"/>
        <v>117.99</v>
      </c>
      <c r="F1065" s="3">
        <f t="shared" ca="1" si="113"/>
        <v>0.60516470109800735</v>
      </c>
      <c r="G1065" s="3">
        <f t="shared" ca="1" si="114"/>
        <v>1.9983733224888165</v>
      </c>
      <c r="H1065" s="3">
        <f t="shared" ca="1" si="115"/>
        <v>1.0591297275315168</v>
      </c>
      <c r="I1065" s="3">
        <f t="shared" ca="1" si="116"/>
        <v>48.742928902627504</v>
      </c>
      <c r="J1065" s="3">
        <f t="shared" ca="1" si="117"/>
        <v>14.760755494505494</v>
      </c>
      <c r="K1065" s="3">
        <f t="shared" ca="1" si="118"/>
        <v>27.850695937643987</v>
      </c>
    </row>
    <row r="1066" spans="3:11" x14ac:dyDescent="0.35">
      <c r="C1066" t="str">
        <f t="shared" ca="1" si="112"/>
        <v>1Q2024</v>
      </c>
      <c r="D1066" vm="2119">
        <f ca="1"/>
        <v>45491</v>
      </c>
      <c r="E1066" vm="2120">
        <f ca="1"/>
        <v>121.09</v>
      </c>
      <c r="F1066" s="3">
        <f t="shared" ca="1" si="113"/>
        <v>0.60516470109800735</v>
      </c>
      <c r="G1066" s="3">
        <f t="shared" ca="1" si="114"/>
        <v>1.9983733224888165</v>
      </c>
      <c r="H1066" s="3">
        <f t="shared" ca="1" si="115"/>
        <v>1.0591297275315168</v>
      </c>
      <c r="I1066" s="3">
        <f t="shared" ca="1" si="116"/>
        <v>50.023572004569587</v>
      </c>
      <c r="J1066" s="3">
        <f t="shared" ca="1" si="117"/>
        <v>15.148570919820921</v>
      </c>
      <c r="K1066" s="3">
        <f t="shared" ca="1" si="118"/>
        <v>28.582428774381818</v>
      </c>
    </row>
    <row r="1067" spans="3:11" x14ac:dyDescent="0.35">
      <c r="C1067" t="str">
        <f t="shared" ca="1" si="112"/>
        <v>1Q2024</v>
      </c>
      <c r="D1067" vm="2121">
        <f ca="1"/>
        <v>45492</v>
      </c>
      <c r="E1067" vm="2122">
        <f ca="1"/>
        <v>117.93</v>
      </c>
      <c r="F1067" s="3">
        <f t="shared" ca="1" si="113"/>
        <v>0.60516470109800735</v>
      </c>
      <c r="G1067" s="3">
        <f t="shared" ca="1" si="114"/>
        <v>1.9983733224888165</v>
      </c>
      <c r="H1067" s="3">
        <f t="shared" ca="1" si="115"/>
        <v>1.0591297275315168</v>
      </c>
      <c r="I1067" s="3">
        <f t="shared" ca="1" si="116"/>
        <v>48.718142261944763</v>
      </c>
      <c r="J1067" s="3">
        <f t="shared" ca="1" si="117"/>
        <v>14.753249389499391</v>
      </c>
      <c r="K1067" s="3">
        <f t="shared" ca="1" si="118"/>
        <v>27.836533366610354</v>
      </c>
    </row>
    <row r="1068" spans="3:11" x14ac:dyDescent="0.35">
      <c r="C1068" t="str">
        <f t="shared" ca="1" si="112"/>
        <v>1Q2024</v>
      </c>
      <c r="D1068" vm="2123">
        <f ca="1"/>
        <v>45495</v>
      </c>
      <c r="E1068" vm="2094">
        <f ca="1"/>
        <v>123.54</v>
      </c>
      <c r="F1068" s="3">
        <f t="shared" ca="1" si="113"/>
        <v>0.60516470109800735</v>
      </c>
      <c r="G1068" s="3">
        <f t="shared" ca="1" si="114"/>
        <v>1.9983733224888165</v>
      </c>
      <c r="H1068" s="3">
        <f t="shared" ca="1" si="115"/>
        <v>1.0591297275315168</v>
      </c>
      <c r="I1068" s="3">
        <f t="shared" ca="1" si="116"/>
        <v>51.035693165781872</v>
      </c>
      <c r="J1068" s="3">
        <f t="shared" ca="1" si="117"/>
        <v>15.455070207570209</v>
      </c>
      <c r="K1068" s="3">
        <f t="shared" ca="1" si="118"/>
        <v>29.160733758255265</v>
      </c>
    </row>
    <row r="1069" spans="3:11" x14ac:dyDescent="0.35">
      <c r="C1069" t="str">
        <f t="shared" ca="1" si="112"/>
        <v>1Q2024</v>
      </c>
      <c r="D1069" vm="2124">
        <f ca="1"/>
        <v>45496</v>
      </c>
      <c r="E1069" vm="2125">
        <f ca="1"/>
        <v>122.59</v>
      </c>
      <c r="F1069" s="3">
        <f t="shared" ca="1" si="113"/>
        <v>0.60516470109800735</v>
      </c>
      <c r="G1069" s="3">
        <f t="shared" ca="1" si="114"/>
        <v>1.9983733224888165</v>
      </c>
      <c r="H1069" s="3">
        <f t="shared" ca="1" si="115"/>
        <v>1.0591297275315168</v>
      </c>
      <c r="I1069" s="3">
        <f t="shared" ca="1" si="116"/>
        <v>50.643238021638332</v>
      </c>
      <c r="J1069" s="3">
        <f t="shared" ca="1" si="117"/>
        <v>15.336223544973546</v>
      </c>
      <c r="K1069" s="3">
        <f t="shared" ca="1" si="118"/>
        <v>28.936493050222705</v>
      </c>
    </row>
    <row r="1070" spans="3:11" x14ac:dyDescent="0.35">
      <c r="C1070" t="str">
        <f t="shared" ca="1" si="112"/>
        <v>1Q2024</v>
      </c>
      <c r="D1070" vm="2126">
        <f ca="1"/>
        <v>45497</v>
      </c>
      <c r="E1070" vm="2127">
        <f ca="1"/>
        <v>114.25</v>
      </c>
      <c r="F1070" s="3">
        <f t="shared" ca="1" si="113"/>
        <v>0.60516470109800735</v>
      </c>
      <c r="G1070" s="3">
        <f t="shared" ca="1" si="114"/>
        <v>1.9983733224888165</v>
      </c>
      <c r="H1070" s="3">
        <f t="shared" ca="1" si="115"/>
        <v>1.0591297275315168</v>
      </c>
      <c r="I1070" s="3">
        <f t="shared" ca="1" si="116"/>
        <v>47.197894966736101</v>
      </c>
      <c r="J1070" s="3">
        <f t="shared" ca="1" si="117"/>
        <v>14.29287494912495</v>
      </c>
      <c r="K1070" s="3">
        <f t="shared" ca="1" si="118"/>
        <v>26.967895676547382</v>
      </c>
    </row>
    <row r="1071" spans="3:11" x14ac:dyDescent="0.35">
      <c r="C1071" t="str">
        <f t="shared" ca="1" si="112"/>
        <v>1Q2024</v>
      </c>
      <c r="D1071" vm="2128">
        <f ca="1"/>
        <v>45498</v>
      </c>
      <c r="E1071" vm="2129">
        <f ca="1"/>
        <v>112.28</v>
      </c>
      <c r="F1071" s="3">
        <f t="shared" ca="1" si="113"/>
        <v>0.60516470109800735</v>
      </c>
      <c r="G1071" s="3">
        <f t="shared" ca="1" si="114"/>
        <v>1.9983733224888165</v>
      </c>
      <c r="H1071" s="3">
        <f t="shared" ca="1" si="115"/>
        <v>1.0591297275315168</v>
      </c>
      <c r="I1071" s="3">
        <f t="shared" ca="1" si="116"/>
        <v>46.384066930985817</v>
      </c>
      <c r="J1071" s="3">
        <f t="shared" ca="1" si="117"/>
        <v>14.046424501424502</v>
      </c>
      <c r="K1071" s="3">
        <f t="shared" ca="1" si="118"/>
        <v>26.50289126094302</v>
      </c>
    </row>
    <row r="1072" spans="3:11" x14ac:dyDescent="0.35">
      <c r="C1072" t="str">
        <f t="shared" ca="1" si="112"/>
        <v>1Q2024</v>
      </c>
      <c r="D1072" vm="2130">
        <f ca="1"/>
        <v>45499</v>
      </c>
      <c r="E1072" vm="2131">
        <f ca="1"/>
        <v>113.06</v>
      </c>
      <c r="F1072" s="3">
        <f t="shared" ca="1" si="113"/>
        <v>0.60516470109800735</v>
      </c>
      <c r="G1072" s="3">
        <f t="shared" ca="1" si="114"/>
        <v>1.9983733224888165</v>
      </c>
      <c r="H1072" s="3">
        <f t="shared" ca="1" si="115"/>
        <v>1.0591297275315168</v>
      </c>
      <c r="I1072" s="3">
        <f t="shared" ca="1" si="116"/>
        <v>46.706293259861567</v>
      </c>
      <c r="J1072" s="3">
        <f t="shared" ca="1" si="117"/>
        <v>14.144003866503867</v>
      </c>
      <c r="K1072" s="3">
        <f t="shared" ca="1" si="118"/>
        <v>26.68700468438028</v>
      </c>
    </row>
    <row r="1073" spans="3:11" x14ac:dyDescent="0.35">
      <c r="C1073" t="str">
        <f t="shared" ca="1" si="112"/>
        <v>2Q2024</v>
      </c>
      <c r="D1073" vm="2132">
        <f ca="1"/>
        <v>45502</v>
      </c>
      <c r="E1073" vm="2133">
        <f ca="1"/>
        <v>111.59</v>
      </c>
      <c r="F1073" s="3">
        <f t="shared" ca="1" si="113"/>
        <v>0.67585504885993486</v>
      </c>
      <c r="G1073" s="3">
        <f t="shared" ca="1" si="114"/>
        <v>2.3680781758957656</v>
      </c>
      <c r="H1073" s="3">
        <f t="shared" ca="1" si="115"/>
        <v>1.223127035830619</v>
      </c>
      <c r="I1073" s="3">
        <f t="shared" ca="1" si="116"/>
        <v>41.277342008554733</v>
      </c>
      <c r="J1073" s="3">
        <f t="shared" ca="1" si="117"/>
        <v>11.780649931224209</v>
      </c>
      <c r="K1073" s="3">
        <f t="shared" ca="1" si="118"/>
        <v>22.808342210386151</v>
      </c>
    </row>
    <row r="1074" spans="3:11" x14ac:dyDescent="0.35">
      <c r="C1074" t="str">
        <f t="shared" ca="1" si="112"/>
        <v>2Q2024</v>
      </c>
      <c r="D1074" vm="2134">
        <f ca="1"/>
        <v>45503</v>
      </c>
      <c r="E1074" vm="2135">
        <f ca="1"/>
        <v>103.73</v>
      </c>
      <c r="F1074" s="3">
        <f t="shared" ca="1" si="113"/>
        <v>0.67585504885993486</v>
      </c>
      <c r="G1074" s="3">
        <f t="shared" ca="1" si="114"/>
        <v>2.3680781758957656</v>
      </c>
      <c r="H1074" s="3">
        <f t="shared" ca="1" si="115"/>
        <v>1.223127035830619</v>
      </c>
      <c r="I1074" s="3">
        <f t="shared" ca="1" si="116"/>
        <v>38.369913850231946</v>
      </c>
      <c r="J1074" s="3">
        <f t="shared" ca="1" si="117"/>
        <v>10.950863136176066</v>
      </c>
      <c r="K1074" s="3">
        <f t="shared" ca="1" si="118"/>
        <v>21.201804260985352</v>
      </c>
    </row>
    <row r="1075" spans="3:11" x14ac:dyDescent="0.35">
      <c r="C1075" t="str">
        <f t="shared" ca="1" si="112"/>
        <v>2Q2024</v>
      </c>
      <c r="D1075" vm="2136">
        <f ca="1"/>
        <v>45504</v>
      </c>
      <c r="E1075" vm="2137">
        <f ca="1"/>
        <v>117.02</v>
      </c>
      <c r="F1075" s="3">
        <f t="shared" ca="1" si="113"/>
        <v>0.67585504885993486</v>
      </c>
      <c r="G1075" s="3">
        <f t="shared" ca="1" si="114"/>
        <v>2.3680781758957656</v>
      </c>
      <c r="H1075" s="3">
        <f t="shared" ca="1" si="115"/>
        <v>1.223127035830619</v>
      </c>
      <c r="I1075" s="3">
        <f t="shared" ca="1" si="116"/>
        <v>43.285908789686125</v>
      </c>
      <c r="J1075" s="3">
        <f t="shared" ca="1" si="117"/>
        <v>12.353899587345254</v>
      </c>
      <c r="K1075" s="3">
        <f t="shared" ca="1" si="118"/>
        <v>23.918202396804258</v>
      </c>
    </row>
    <row r="1076" spans="3:11" x14ac:dyDescent="0.35">
      <c r="C1076" t="str">
        <f t="shared" ca="1" si="112"/>
        <v>2Q2024</v>
      </c>
      <c r="D1076" vm="2138">
        <f ca="1"/>
        <v>45505</v>
      </c>
      <c r="E1076" vm="2139">
        <f ca="1"/>
        <v>109.21</v>
      </c>
      <c r="F1076" s="3">
        <f t="shared" ca="1" si="113"/>
        <v>0.67585504885993486</v>
      </c>
      <c r="G1076" s="3">
        <f t="shared" ca="1" si="114"/>
        <v>2.3680781758957656</v>
      </c>
      <c r="H1076" s="3">
        <f t="shared" ca="1" si="115"/>
        <v>1.223127035830619</v>
      </c>
      <c r="I1076" s="3">
        <f t="shared" ca="1" si="116"/>
        <v>40.396975721429001</v>
      </c>
      <c r="J1076" s="3">
        <f t="shared" ca="1" si="117"/>
        <v>11.529391334250342</v>
      </c>
      <c r="K1076" s="3">
        <f t="shared" ca="1" si="118"/>
        <v>22.321884154460715</v>
      </c>
    </row>
    <row r="1077" spans="3:11" x14ac:dyDescent="0.35">
      <c r="C1077" t="str">
        <f t="shared" ca="1" si="112"/>
        <v>2Q2024</v>
      </c>
      <c r="D1077" vm="2140">
        <f ca="1"/>
        <v>45506</v>
      </c>
      <c r="E1077" vm="2141">
        <f ca="1"/>
        <v>107.27</v>
      </c>
      <c r="F1077" s="3">
        <f t="shared" ca="1" si="113"/>
        <v>0.67585504885993486</v>
      </c>
      <c r="G1077" s="3">
        <f t="shared" ca="1" si="114"/>
        <v>2.3680781758957656</v>
      </c>
      <c r="H1077" s="3">
        <f t="shared" ca="1" si="115"/>
        <v>1.223127035830619</v>
      </c>
      <c r="I1077" s="3">
        <f t="shared" ca="1" si="116"/>
        <v>39.679366226881136</v>
      </c>
      <c r="J1077" s="3">
        <f t="shared" ca="1" si="117"/>
        <v>11.324583906464923</v>
      </c>
      <c r="K1077" s="3">
        <f t="shared" ca="1" si="118"/>
        <v>21.925359520639145</v>
      </c>
    </row>
    <row r="1078" spans="3:11" x14ac:dyDescent="0.35">
      <c r="C1078" t="str">
        <f t="shared" ca="1" si="112"/>
        <v>2Q2024</v>
      </c>
      <c r="D1078" vm="2142">
        <f ca="1"/>
        <v>45509</v>
      </c>
      <c r="E1078" vm="2143">
        <f ca="1"/>
        <v>100.45</v>
      </c>
      <c r="F1078" s="3">
        <f t="shared" ca="1" si="113"/>
        <v>0.67585504885993486</v>
      </c>
      <c r="G1078" s="3">
        <f t="shared" ca="1" si="114"/>
        <v>2.3680781758957656</v>
      </c>
      <c r="H1078" s="3">
        <f t="shared" ca="1" si="115"/>
        <v>1.223127035830619</v>
      </c>
      <c r="I1078" s="3">
        <f t="shared" ca="1" si="116"/>
        <v>37.156635941924215</v>
      </c>
      <c r="J1078" s="3">
        <f t="shared" ca="1" si="117"/>
        <v>10.604590784044015</v>
      </c>
      <c r="K1078" s="3">
        <f t="shared" ca="1" si="118"/>
        <v>20.531391478029292</v>
      </c>
    </row>
    <row r="1079" spans="3:11" x14ac:dyDescent="0.35">
      <c r="C1079" t="str">
        <f t="shared" ca="1" si="112"/>
        <v>2Q2024</v>
      </c>
      <c r="D1079" vm="2144">
        <f ca="1"/>
        <v>45510</v>
      </c>
      <c r="E1079" vm="2145">
        <f ca="1"/>
        <v>104.25</v>
      </c>
      <c r="F1079" s="3">
        <f t="shared" ca="1" si="113"/>
        <v>0.67585504885993486</v>
      </c>
      <c r="G1079" s="3">
        <f t="shared" ca="1" si="114"/>
        <v>2.3680781758957656</v>
      </c>
      <c r="H1079" s="3">
        <f t="shared" ca="1" si="115"/>
        <v>1.223127035830619</v>
      </c>
      <c r="I1079" s="3">
        <f t="shared" ca="1" si="116"/>
        <v>38.562262786914872</v>
      </c>
      <c r="J1079" s="3">
        <f t="shared" ca="1" si="117"/>
        <v>11.005759972489683</v>
      </c>
      <c r="K1079" s="3">
        <f t="shared" ca="1" si="118"/>
        <v>21.308089214380825</v>
      </c>
    </row>
    <row r="1080" spans="3:11" x14ac:dyDescent="0.35">
      <c r="C1080" t="str">
        <f t="shared" ca="1" si="112"/>
        <v>2Q2024</v>
      </c>
      <c r="D1080" vm="2146">
        <f ca="1"/>
        <v>45511</v>
      </c>
      <c r="E1080" vm="2147">
        <f ca="1"/>
        <v>98.91</v>
      </c>
      <c r="F1080" s="3">
        <f t="shared" ca="1" si="113"/>
        <v>0.67585504885993486</v>
      </c>
      <c r="G1080" s="3">
        <f t="shared" ca="1" si="114"/>
        <v>2.3680781758957656</v>
      </c>
      <c r="H1080" s="3">
        <f t="shared" ca="1" si="115"/>
        <v>1.223127035830619</v>
      </c>
      <c r="I1080" s="3">
        <f t="shared" ca="1" si="116"/>
        <v>36.586987167901682</v>
      </c>
      <c r="J1080" s="3">
        <f t="shared" ca="1" si="117"/>
        <v>10.442011691884456</v>
      </c>
      <c r="K1080" s="3">
        <f t="shared" ca="1" si="118"/>
        <v>20.216624500665777</v>
      </c>
    </row>
    <row r="1081" spans="3:11" x14ac:dyDescent="0.35">
      <c r="C1081" t="str">
        <f t="shared" ca="1" si="112"/>
        <v>2Q2024</v>
      </c>
      <c r="D1081" vm="2148">
        <f ca="1"/>
        <v>45512</v>
      </c>
      <c r="E1081" vm="2149">
        <f ca="1"/>
        <v>104.97</v>
      </c>
      <c r="F1081" s="3">
        <f t="shared" ca="1" si="113"/>
        <v>0.67585504885993486</v>
      </c>
      <c r="G1081" s="3">
        <f t="shared" ca="1" si="114"/>
        <v>2.3680781758957656</v>
      </c>
      <c r="H1081" s="3">
        <f t="shared" ca="1" si="115"/>
        <v>1.223127035830619</v>
      </c>
      <c r="I1081" s="3">
        <f t="shared" ca="1" si="116"/>
        <v>38.828592083860471</v>
      </c>
      <c r="J1081" s="3">
        <f t="shared" ca="1" si="117"/>
        <v>11.08177097661623</v>
      </c>
      <c r="K1081" s="3">
        <f t="shared" ca="1" si="118"/>
        <v>21.455252996005324</v>
      </c>
    </row>
    <row r="1082" spans="3:11" x14ac:dyDescent="0.35">
      <c r="C1082" t="str">
        <f t="shared" ca="1" si="112"/>
        <v>2Q2024</v>
      </c>
      <c r="D1082" vm="2150">
        <f ca="1"/>
        <v>45513</v>
      </c>
      <c r="E1082" vm="2151">
        <f ca="1"/>
        <v>104.75</v>
      </c>
      <c r="F1082" s="3">
        <f t="shared" ca="1" si="113"/>
        <v>0.67585504885993486</v>
      </c>
      <c r="G1082" s="3">
        <f t="shared" ca="1" si="114"/>
        <v>2.3680781758957656</v>
      </c>
      <c r="H1082" s="3">
        <f t="shared" ca="1" si="115"/>
        <v>1.223127035830619</v>
      </c>
      <c r="I1082" s="3">
        <f t="shared" ca="1" si="116"/>
        <v>38.747213687571538</v>
      </c>
      <c r="J1082" s="3">
        <f t="shared" ca="1" si="117"/>
        <v>11.058545392022008</v>
      </c>
      <c r="K1082" s="3">
        <f t="shared" ca="1" si="118"/>
        <v>21.410286284953393</v>
      </c>
    </row>
    <row r="1083" spans="3:11" x14ac:dyDescent="0.35">
      <c r="C1083" t="str">
        <f t="shared" ca="1" si="112"/>
        <v>2Q2024</v>
      </c>
      <c r="D1083" vm="2152">
        <f ca="1"/>
        <v>45516</v>
      </c>
      <c r="E1083" vm="2153">
        <f ca="1"/>
        <v>109.02</v>
      </c>
      <c r="F1083" s="3">
        <f t="shared" ca="1" si="113"/>
        <v>0.67585504885993486</v>
      </c>
      <c r="G1083" s="3">
        <f t="shared" ca="1" si="114"/>
        <v>2.3680781758957656</v>
      </c>
      <c r="H1083" s="3">
        <f t="shared" ca="1" si="115"/>
        <v>1.223127035830619</v>
      </c>
      <c r="I1083" s="3">
        <f t="shared" ca="1" si="116"/>
        <v>40.326694379179465</v>
      </c>
      <c r="J1083" s="3">
        <f t="shared" ca="1" si="117"/>
        <v>11.509332874828059</v>
      </c>
      <c r="K1083" s="3">
        <f t="shared" ca="1" si="118"/>
        <v>22.28304926764314</v>
      </c>
    </row>
    <row r="1084" spans="3:11" x14ac:dyDescent="0.35">
      <c r="C1084" t="str">
        <f t="shared" ca="1" si="112"/>
        <v>2Q2024</v>
      </c>
      <c r="D1084" vm="2154">
        <f ca="1"/>
        <v>45517</v>
      </c>
      <c r="E1084" vm="2155">
        <f ca="1"/>
        <v>116.14</v>
      </c>
      <c r="F1084" s="3">
        <f t="shared" ca="1" si="113"/>
        <v>0.67585504885993486</v>
      </c>
      <c r="G1084" s="3">
        <f t="shared" ca="1" si="114"/>
        <v>2.3680781758957656</v>
      </c>
      <c r="H1084" s="3">
        <f t="shared" ca="1" si="115"/>
        <v>1.223127035830619</v>
      </c>
      <c r="I1084" s="3">
        <f t="shared" ca="1" si="116"/>
        <v>42.960395204530393</v>
      </c>
      <c r="J1084" s="3">
        <f t="shared" ca="1" si="117"/>
        <v>12.260997248968362</v>
      </c>
      <c r="K1084" s="3">
        <f t="shared" ca="1" si="118"/>
        <v>23.738335552596535</v>
      </c>
    </row>
    <row r="1085" spans="3:11" x14ac:dyDescent="0.35">
      <c r="C1085" t="str">
        <f t="shared" ca="1" si="112"/>
        <v>2Q2024</v>
      </c>
      <c r="D1085" vm="2156">
        <f ca="1"/>
        <v>45518</v>
      </c>
      <c r="E1085" vm="2157">
        <f ca="1"/>
        <v>118.08</v>
      </c>
      <c r="F1085" s="3">
        <f t="shared" ca="1" si="113"/>
        <v>0.67585504885993486</v>
      </c>
      <c r="G1085" s="3">
        <f t="shared" ca="1" si="114"/>
        <v>2.3680781758957656</v>
      </c>
      <c r="H1085" s="3">
        <f t="shared" ca="1" si="115"/>
        <v>1.223127035830619</v>
      </c>
      <c r="I1085" s="3">
        <f t="shared" ca="1" si="116"/>
        <v>43.678004699078258</v>
      </c>
      <c r="J1085" s="3">
        <f t="shared" ca="1" si="117"/>
        <v>12.465804676753782</v>
      </c>
      <c r="K1085" s="3">
        <f t="shared" ca="1" si="118"/>
        <v>24.134860186418106</v>
      </c>
    </row>
    <row r="1086" spans="3:11" x14ac:dyDescent="0.35">
      <c r="C1086" t="str">
        <f t="shared" ca="1" si="112"/>
        <v>2Q2024</v>
      </c>
      <c r="D1086" vm="2158">
        <f ca="1"/>
        <v>45519</v>
      </c>
      <c r="E1086" vm="2159">
        <f ca="1"/>
        <v>122.86</v>
      </c>
      <c r="F1086" s="3">
        <f t="shared" ca="1" si="113"/>
        <v>0.67585504885993486</v>
      </c>
      <c r="G1086" s="3">
        <f t="shared" ca="1" si="114"/>
        <v>2.3680781758957656</v>
      </c>
      <c r="H1086" s="3">
        <f t="shared" ca="1" si="115"/>
        <v>1.223127035830619</v>
      </c>
      <c r="I1086" s="3">
        <f t="shared" ca="1" si="116"/>
        <v>45.446135309355988</v>
      </c>
      <c r="J1086" s="3">
        <f t="shared" ca="1" si="117"/>
        <v>12.970433287482805</v>
      </c>
      <c r="K1086" s="3">
        <f t="shared" ca="1" si="118"/>
        <v>25.111864181091875</v>
      </c>
    </row>
    <row r="1087" spans="3:11" x14ac:dyDescent="0.35">
      <c r="C1087" t="str">
        <f t="shared" ca="1" si="112"/>
        <v>2Q2024</v>
      </c>
      <c r="D1087" vm="2160">
        <f ca="1"/>
        <v>45520</v>
      </c>
      <c r="E1087" vm="2161">
        <f ca="1"/>
        <v>124.58</v>
      </c>
      <c r="F1087" s="3">
        <f t="shared" ca="1" si="113"/>
        <v>0.67585504885993486</v>
      </c>
      <c r="G1087" s="3">
        <f t="shared" ca="1" si="114"/>
        <v>2.3680781758957656</v>
      </c>
      <c r="H1087" s="3">
        <f t="shared" ca="1" si="115"/>
        <v>1.223127035830619</v>
      </c>
      <c r="I1087" s="3">
        <f t="shared" ca="1" si="116"/>
        <v>46.082366407614913</v>
      </c>
      <c r="J1087" s="3">
        <f t="shared" ca="1" si="117"/>
        <v>13.152015130674002</v>
      </c>
      <c r="K1087" s="3">
        <f t="shared" ca="1" si="118"/>
        <v>25.463422103861515</v>
      </c>
    </row>
    <row r="1088" spans="3:11" x14ac:dyDescent="0.35">
      <c r="C1088" t="str">
        <f t="shared" ca="1" si="112"/>
        <v>2Q2024</v>
      </c>
      <c r="D1088" vm="2162">
        <f ca="1"/>
        <v>45523</v>
      </c>
      <c r="E1088" vm="2163">
        <f ca="1"/>
        <v>130</v>
      </c>
      <c r="F1088" s="3">
        <f t="shared" ca="1" si="113"/>
        <v>0.67585504885993486</v>
      </c>
      <c r="G1088" s="3">
        <f t="shared" ca="1" si="114"/>
        <v>2.3680781758957656</v>
      </c>
      <c r="H1088" s="3">
        <f t="shared" ca="1" si="115"/>
        <v>1.223127035830619</v>
      </c>
      <c r="I1088" s="3">
        <f t="shared" ca="1" si="116"/>
        <v>48.087234170733176</v>
      </c>
      <c r="J1088" s="3">
        <f t="shared" ca="1" si="117"/>
        <v>13.724209078404401</v>
      </c>
      <c r="K1088" s="3">
        <f t="shared" ca="1" si="118"/>
        <v>26.571238348868174</v>
      </c>
    </row>
    <row r="1089" spans="3:11" x14ac:dyDescent="0.35">
      <c r="C1089" t="str">
        <f t="shared" ca="1" si="112"/>
        <v>2Q2024</v>
      </c>
      <c r="D1089" vm="2164">
        <f ca="1"/>
        <v>45524</v>
      </c>
      <c r="E1089" vm="2165">
        <f ca="1"/>
        <v>127.25</v>
      </c>
      <c r="F1089" s="3">
        <f t="shared" ca="1" si="113"/>
        <v>0.67585504885993486</v>
      </c>
      <c r="G1089" s="3">
        <f t="shared" ca="1" si="114"/>
        <v>2.3680781758957656</v>
      </c>
      <c r="H1089" s="3">
        <f t="shared" ca="1" si="115"/>
        <v>1.223127035830619</v>
      </c>
      <c r="I1089" s="3">
        <f t="shared" ca="1" si="116"/>
        <v>47.070004217121515</v>
      </c>
      <c r="J1089" s="3">
        <f t="shared" ca="1" si="117"/>
        <v>13.433889270976616</v>
      </c>
      <c r="K1089" s="3">
        <f t="shared" ca="1" si="118"/>
        <v>26.009154460719039</v>
      </c>
    </row>
    <row r="1090" spans="3:11" x14ac:dyDescent="0.35">
      <c r="C1090" t="str">
        <f t="shared" ca="1" si="112"/>
        <v>2Q2024</v>
      </c>
      <c r="D1090" vm="2166">
        <f ca="1"/>
        <v>45525</v>
      </c>
      <c r="E1090" vm="2167">
        <f ca="1"/>
        <v>128.5</v>
      </c>
      <c r="F1090" s="3">
        <f t="shared" ca="1" si="113"/>
        <v>0.67585504885993486</v>
      </c>
      <c r="G1090" s="3">
        <f t="shared" ca="1" si="114"/>
        <v>2.3680781758957656</v>
      </c>
      <c r="H1090" s="3">
        <f t="shared" ca="1" si="115"/>
        <v>1.223127035830619</v>
      </c>
      <c r="I1090" s="3">
        <f t="shared" ca="1" si="116"/>
        <v>47.532381468763177</v>
      </c>
      <c r="J1090" s="3">
        <f t="shared" ca="1" si="117"/>
        <v>13.565852819807427</v>
      </c>
      <c r="K1090" s="3">
        <f t="shared" ca="1" si="118"/>
        <v>26.264647137150465</v>
      </c>
    </row>
    <row r="1091" spans="3:11" x14ac:dyDescent="0.35">
      <c r="C1091" t="str">
        <f t="shared" ref="C1091:C1154" ca="1" si="119">LOOKUP(D1091,$N$2:$N$27,$M$2:$M$27)</f>
        <v>2Q2024</v>
      </c>
      <c r="D1091" vm="2168">
        <f ca="1"/>
        <v>45526</v>
      </c>
      <c r="E1091" vm="2169">
        <f ca="1"/>
        <v>123.74</v>
      </c>
      <c r="F1091" s="3">
        <f t="shared" ca="1" si="113"/>
        <v>0.67585504885993486</v>
      </c>
      <c r="G1091" s="3">
        <f t="shared" ca="1" si="114"/>
        <v>2.3680781758957656</v>
      </c>
      <c r="H1091" s="3">
        <f t="shared" ca="1" si="115"/>
        <v>1.223127035830619</v>
      </c>
      <c r="I1091" s="3">
        <f t="shared" ca="1" si="116"/>
        <v>45.771648894511713</v>
      </c>
      <c r="J1091" s="3">
        <f t="shared" ca="1" si="117"/>
        <v>13.063335625859695</v>
      </c>
      <c r="K1091" s="3">
        <f t="shared" ca="1" si="118"/>
        <v>25.291731025299597</v>
      </c>
    </row>
    <row r="1092" spans="3:11" x14ac:dyDescent="0.35">
      <c r="C1092" t="str">
        <f t="shared" ca="1" si="119"/>
        <v>2Q2024</v>
      </c>
      <c r="D1092" vm="2170">
        <f ca="1"/>
        <v>45527</v>
      </c>
      <c r="E1092" vm="2171">
        <f ca="1"/>
        <v>129.37</v>
      </c>
      <c r="F1092" s="3">
        <f t="shared" ref="F1092:F1155" ca="1" si="120">VLOOKUP($C1092,$M$2:$R$27,4,0)/VLOOKUP($C1092,$M$2:$R$27,3,0)</f>
        <v>0.67585504885993486</v>
      </c>
      <c r="G1092" s="3">
        <f t="shared" ref="G1092:G1155" ca="1" si="121">VLOOKUP($C1092,$M$2:$R$27,6,0)/VLOOKUP($C1092,$M$2:$R$27,3,0)</f>
        <v>2.3680781758957656</v>
      </c>
      <c r="H1092" s="3">
        <f t="shared" ref="H1092:H1155" ca="1" si="122">VLOOKUP($C1092,$M$2:$R$27,5,0)/VLOOKUP($C1092,$M$2:$R$27,3,0)</f>
        <v>1.223127035830619</v>
      </c>
      <c r="I1092" s="3">
        <f t="shared" ref="I1092:I1155" ca="1" si="123">$E1092/(F1092*4)</f>
        <v>47.85419603590578</v>
      </c>
      <c r="J1092" s="3">
        <f t="shared" ref="J1092:J1155" ca="1" si="124">$E1092/(G1092*4)</f>
        <v>13.657699449793672</v>
      </c>
      <c r="K1092" s="3">
        <f t="shared" ref="K1092:K1155" ca="1" si="125">$E1092/(H1092*4)</f>
        <v>26.442470039946738</v>
      </c>
    </row>
    <row r="1093" spans="3:11" x14ac:dyDescent="0.35">
      <c r="C1093" t="str">
        <f t="shared" ca="1" si="119"/>
        <v>2Q2024</v>
      </c>
      <c r="D1093" vm="2172">
        <f ca="1"/>
        <v>45530</v>
      </c>
      <c r="E1093" vm="2173">
        <f ca="1"/>
        <v>126.46</v>
      </c>
      <c r="F1093" s="3">
        <f t="shared" ca="1" si="120"/>
        <v>0.67585504885993486</v>
      </c>
      <c r="G1093" s="3">
        <f t="shared" ca="1" si="121"/>
        <v>2.3680781758957656</v>
      </c>
      <c r="H1093" s="3">
        <f t="shared" ca="1" si="122"/>
        <v>1.223127035830619</v>
      </c>
      <c r="I1093" s="3">
        <f t="shared" ca="1" si="123"/>
        <v>46.777781794083978</v>
      </c>
      <c r="J1093" s="3">
        <f t="shared" ca="1" si="124"/>
        <v>13.350488308115542</v>
      </c>
      <c r="K1093" s="3">
        <f t="shared" ca="1" si="125"/>
        <v>25.847683089214378</v>
      </c>
    </row>
    <row r="1094" spans="3:11" x14ac:dyDescent="0.35">
      <c r="C1094" t="str">
        <f t="shared" ca="1" si="119"/>
        <v>2Q2024</v>
      </c>
      <c r="D1094" vm="2174">
        <f ca="1"/>
        <v>45531</v>
      </c>
      <c r="E1094" vm="2175">
        <f ca="1"/>
        <v>128.30000000000001</v>
      </c>
      <c r="F1094" s="3">
        <f t="shared" ca="1" si="120"/>
        <v>0.67585504885993486</v>
      </c>
      <c r="G1094" s="3">
        <f t="shared" ca="1" si="121"/>
        <v>2.3680781758957656</v>
      </c>
      <c r="H1094" s="3">
        <f t="shared" ca="1" si="122"/>
        <v>1.223127035830619</v>
      </c>
      <c r="I1094" s="3">
        <f t="shared" ca="1" si="123"/>
        <v>47.458401108500517</v>
      </c>
      <c r="J1094" s="3">
        <f t="shared" ca="1" si="124"/>
        <v>13.544738651994498</v>
      </c>
      <c r="K1094" s="3">
        <f t="shared" ca="1" si="125"/>
        <v>26.223768308921439</v>
      </c>
    </row>
    <row r="1095" spans="3:11" x14ac:dyDescent="0.35">
      <c r="C1095" t="str">
        <f t="shared" ca="1" si="119"/>
        <v>2Q2024</v>
      </c>
      <c r="D1095" vm="2176">
        <f ca="1"/>
        <v>45532</v>
      </c>
      <c r="E1095" vm="2177">
        <f ca="1"/>
        <v>125.61</v>
      </c>
      <c r="F1095" s="3">
        <f t="shared" ca="1" si="120"/>
        <v>0.67585504885993486</v>
      </c>
      <c r="G1095" s="3">
        <f t="shared" ca="1" si="121"/>
        <v>2.3680781758957656</v>
      </c>
      <c r="H1095" s="3">
        <f t="shared" ca="1" si="122"/>
        <v>1.223127035830619</v>
      </c>
      <c r="I1095" s="3">
        <f t="shared" ca="1" si="123"/>
        <v>46.463365262967649</v>
      </c>
      <c r="J1095" s="3">
        <f t="shared" ca="1" si="124"/>
        <v>13.260753094910591</v>
      </c>
      <c r="K1095" s="3">
        <f t="shared" ca="1" si="125"/>
        <v>25.67394806924101</v>
      </c>
    </row>
    <row r="1096" spans="3:11" x14ac:dyDescent="0.35">
      <c r="C1096" t="str">
        <f t="shared" ca="1" si="119"/>
        <v>2Q2024</v>
      </c>
      <c r="D1096" vm="2178">
        <f ca="1"/>
        <v>45533</v>
      </c>
      <c r="E1096" vm="2179">
        <f ca="1"/>
        <v>117.59</v>
      </c>
      <c r="F1096" s="3">
        <f t="shared" ca="1" si="120"/>
        <v>0.67585504885993486</v>
      </c>
      <c r="G1096" s="3">
        <f t="shared" ca="1" si="121"/>
        <v>2.3680781758957656</v>
      </c>
      <c r="H1096" s="3">
        <f t="shared" ca="1" si="122"/>
        <v>1.223127035830619</v>
      </c>
      <c r="I1096" s="3">
        <f t="shared" ca="1" si="123"/>
        <v>43.496752816434729</v>
      </c>
      <c r="J1096" s="3">
        <f t="shared" ca="1" si="124"/>
        <v>12.414074965612103</v>
      </c>
      <c r="K1096" s="3">
        <f t="shared" ca="1" si="125"/>
        <v>24.034707057256991</v>
      </c>
    </row>
    <row r="1097" spans="3:11" x14ac:dyDescent="0.35">
      <c r="C1097" t="str">
        <f t="shared" ca="1" si="119"/>
        <v>2Q2024</v>
      </c>
      <c r="D1097" vm="2180">
        <f ca="1"/>
        <v>45534</v>
      </c>
      <c r="E1097" vm="2181">
        <f ca="1"/>
        <v>119.37</v>
      </c>
      <c r="F1097" s="3">
        <f t="shared" ca="1" si="120"/>
        <v>0.67585504885993486</v>
      </c>
      <c r="G1097" s="3">
        <f t="shared" ca="1" si="121"/>
        <v>2.3680781758957656</v>
      </c>
      <c r="H1097" s="3">
        <f t="shared" ca="1" si="122"/>
        <v>1.223127035830619</v>
      </c>
      <c r="I1097" s="3">
        <f t="shared" ca="1" si="123"/>
        <v>44.155178022772461</v>
      </c>
      <c r="J1097" s="3">
        <f t="shared" ca="1" si="124"/>
        <v>12.60199105914718</v>
      </c>
      <c r="K1097" s="3">
        <f t="shared" ca="1" si="125"/>
        <v>24.398528628495338</v>
      </c>
    </row>
    <row r="1098" spans="3:11" x14ac:dyDescent="0.35">
      <c r="C1098" t="str">
        <f t="shared" ca="1" si="119"/>
        <v>2Q2024</v>
      </c>
      <c r="D1098" vm="2182">
        <f ca="1"/>
        <v>45538</v>
      </c>
      <c r="E1098" vm="2183">
        <f ca="1"/>
        <v>108</v>
      </c>
      <c r="F1098" s="3">
        <f t="shared" ca="1" si="120"/>
        <v>0.67585504885993486</v>
      </c>
      <c r="G1098" s="3">
        <f t="shared" ca="1" si="121"/>
        <v>2.3680781758957656</v>
      </c>
      <c r="H1098" s="3">
        <f t="shared" ca="1" si="122"/>
        <v>1.223127035830619</v>
      </c>
      <c r="I1098" s="3">
        <f t="shared" ca="1" si="123"/>
        <v>39.949394541839872</v>
      </c>
      <c r="J1098" s="3">
        <f t="shared" ca="1" si="124"/>
        <v>11.401650618982117</v>
      </c>
      <c r="K1098" s="3">
        <f t="shared" ca="1" si="125"/>
        <v>22.074567243675098</v>
      </c>
    </row>
    <row r="1099" spans="3:11" x14ac:dyDescent="0.35">
      <c r="C1099" t="str">
        <f t="shared" ca="1" si="119"/>
        <v>2Q2024</v>
      </c>
      <c r="D1099" vm="2184">
        <f ca="1"/>
        <v>45539</v>
      </c>
      <c r="E1099" vm="2185">
        <f ca="1"/>
        <v>106.21</v>
      </c>
      <c r="F1099" s="3">
        <f t="shared" ca="1" si="120"/>
        <v>0.67585504885993486</v>
      </c>
      <c r="G1099" s="3">
        <f t="shared" ca="1" si="121"/>
        <v>2.3680781758957656</v>
      </c>
      <c r="H1099" s="3">
        <f t="shared" ca="1" si="122"/>
        <v>1.223127035830619</v>
      </c>
      <c r="I1099" s="3">
        <f t="shared" ca="1" si="123"/>
        <v>39.287270317489003</v>
      </c>
      <c r="J1099" s="3">
        <f t="shared" ca="1" si="124"/>
        <v>11.212678817056394</v>
      </c>
      <c r="K1099" s="3">
        <f t="shared" ca="1" si="125"/>
        <v>21.708701731025297</v>
      </c>
    </row>
    <row r="1100" spans="3:11" x14ac:dyDescent="0.35">
      <c r="C1100" t="str">
        <f t="shared" ca="1" si="119"/>
        <v>2Q2024</v>
      </c>
      <c r="D1100" vm="2186">
        <f ca="1"/>
        <v>45540</v>
      </c>
      <c r="E1100" vm="2187">
        <f ca="1"/>
        <v>107.21</v>
      </c>
      <c r="F1100" s="3">
        <f t="shared" ca="1" si="120"/>
        <v>0.67585504885993486</v>
      </c>
      <c r="G1100" s="3">
        <f t="shared" ca="1" si="121"/>
        <v>2.3680781758957656</v>
      </c>
      <c r="H1100" s="3">
        <f t="shared" ca="1" si="122"/>
        <v>1.223127035830619</v>
      </c>
      <c r="I1100" s="3">
        <f t="shared" ca="1" si="123"/>
        <v>39.657172118802336</v>
      </c>
      <c r="J1100" s="3">
        <f t="shared" ca="1" si="124"/>
        <v>11.318249656121044</v>
      </c>
      <c r="K1100" s="3">
        <f t="shared" ca="1" si="125"/>
        <v>21.913095872170437</v>
      </c>
    </row>
    <row r="1101" spans="3:11" x14ac:dyDescent="0.35">
      <c r="C1101" t="str">
        <f t="shared" ca="1" si="119"/>
        <v>2Q2024</v>
      </c>
      <c r="D1101" vm="2188">
        <f ca="1"/>
        <v>45541</v>
      </c>
      <c r="E1101" vm="2189">
        <f ca="1"/>
        <v>102.83</v>
      </c>
      <c r="F1101" s="3">
        <f t="shared" ca="1" si="120"/>
        <v>0.67585504885993486</v>
      </c>
      <c r="G1101" s="3">
        <f t="shared" ca="1" si="121"/>
        <v>2.3680781758957656</v>
      </c>
      <c r="H1101" s="3">
        <f t="shared" ca="1" si="122"/>
        <v>1.223127035830619</v>
      </c>
      <c r="I1101" s="3">
        <f t="shared" ca="1" si="123"/>
        <v>38.037002229049939</v>
      </c>
      <c r="J1101" s="3">
        <f t="shared" ca="1" si="124"/>
        <v>10.855849381017881</v>
      </c>
      <c r="K1101" s="3">
        <f t="shared" ca="1" si="125"/>
        <v>21.017849533954724</v>
      </c>
    </row>
    <row r="1102" spans="3:11" x14ac:dyDescent="0.35">
      <c r="C1102" t="str">
        <f t="shared" ca="1" si="119"/>
        <v>2Q2024</v>
      </c>
      <c r="D1102" vm="2190">
        <f ca="1"/>
        <v>45544</v>
      </c>
      <c r="E1102" vm="2191">
        <f ca="1"/>
        <v>106.47</v>
      </c>
      <c r="F1102" s="3">
        <f t="shared" ca="1" si="120"/>
        <v>0.67585504885993486</v>
      </c>
      <c r="G1102" s="3">
        <f t="shared" ca="1" si="121"/>
        <v>2.3680781758957656</v>
      </c>
      <c r="H1102" s="3">
        <f t="shared" ca="1" si="122"/>
        <v>1.223127035830619</v>
      </c>
      <c r="I1102" s="3">
        <f t="shared" ca="1" si="123"/>
        <v>39.38344478583047</v>
      </c>
      <c r="J1102" s="3">
        <f t="shared" ca="1" si="124"/>
        <v>11.240127235213205</v>
      </c>
      <c r="K1102" s="3">
        <f t="shared" ca="1" si="125"/>
        <v>21.761844207723033</v>
      </c>
    </row>
    <row r="1103" spans="3:11" x14ac:dyDescent="0.35">
      <c r="C1103" t="str">
        <f t="shared" ca="1" si="119"/>
        <v>2Q2024</v>
      </c>
      <c r="D1103" vm="2192">
        <f ca="1"/>
        <v>45545</v>
      </c>
      <c r="E1103" vm="2193">
        <f ca="1"/>
        <v>108.1</v>
      </c>
      <c r="F1103" s="3">
        <f t="shared" ca="1" si="120"/>
        <v>0.67585504885993486</v>
      </c>
      <c r="G1103" s="3">
        <f t="shared" ca="1" si="121"/>
        <v>2.3680781758957656</v>
      </c>
      <c r="H1103" s="3">
        <f t="shared" ca="1" si="122"/>
        <v>1.223127035830619</v>
      </c>
      <c r="I1103" s="3">
        <f t="shared" ca="1" si="123"/>
        <v>39.986384721971199</v>
      </c>
      <c r="J1103" s="3">
        <f t="shared" ca="1" si="124"/>
        <v>11.412207702888582</v>
      </c>
      <c r="K1103" s="3">
        <f t="shared" ca="1" si="125"/>
        <v>22.095006657789611</v>
      </c>
    </row>
    <row r="1104" spans="3:11" x14ac:dyDescent="0.35">
      <c r="C1104" t="str">
        <f t="shared" ca="1" si="119"/>
        <v>2Q2024</v>
      </c>
      <c r="D1104" vm="2194">
        <f ca="1"/>
        <v>45546</v>
      </c>
      <c r="E1104" vm="2195">
        <f ca="1"/>
        <v>116.91</v>
      </c>
      <c r="F1104" s="3">
        <f t="shared" ca="1" si="120"/>
        <v>0.67585504885993486</v>
      </c>
      <c r="G1104" s="3">
        <f t="shared" ca="1" si="121"/>
        <v>2.3680781758957656</v>
      </c>
      <c r="H1104" s="3">
        <f t="shared" ca="1" si="122"/>
        <v>1.223127035830619</v>
      </c>
      <c r="I1104" s="3">
        <f t="shared" ca="1" si="123"/>
        <v>43.245219591541655</v>
      </c>
      <c r="J1104" s="3">
        <f t="shared" ca="1" si="124"/>
        <v>12.342286795048143</v>
      </c>
      <c r="K1104" s="3">
        <f t="shared" ca="1" si="125"/>
        <v>23.895719041278294</v>
      </c>
    </row>
    <row r="1105" spans="3:11" x14ac:dyDescent="0.35">
      <c r="C1105" t="str">
        <f t="shared" ca="1" si="119"/>
        <v>2Q2024</v>
      </c>
      <c r="D1105" vm="2196">
        <f ca="1"/>
        <v>45547</v>
      </c>
      <c r="E1105" vm="2197">
        <f ca="1"/>
        <v>119.14</v>
      </c>
      <c r="F1105" s="3">
        <f t="shared" ca="1" si="120"/>
        <v>0.67585504885993486</v>
      </c>
      <c r="G1105" s="3">
        <f t="shared" ca="1" si="121"/>
        <v>2.3680781758957656</v>
      </c>
      <c r="H1105" s="3">
        <f t="shared" ca="1" si="122"/>
        <v>1.223127035830619</v>
      </c>
      <c r="I1105" s="3">
        <f t="shared" ca="1" si="123"/>
        <v>44.070100608470391</v>
      </c>
      <c r="J1105" s="3">
        <f t="shared" ca="1" si="124"/>
        <v>12.577709766162309</v>
      </c>
      <c r="K1105" s="3">
        <f t="shared" ca="1" si="125"/>
        <v>24.351517976031957</v>
      </c>
    </row>
    <row r="1106" spans="3:11" x14ac:dyDescent="0.35">
      <c r="C1106" t="str">
        <f t="shared" ca="1" si="119"/>
        <v>2Q2024</v>
      </c>
      <c r="D1106" vm="2198">
        <f ca="1"/>
        <v>45548</v>
      </c>
      <c r="E1106" vm="2199">
        <f ca="1"/>
        <v>119.1</v>
      </c>
      <c r="F1106" s="3">
        <f t="shared" ca="1" si="120"/>
        <v>0.67585504885993486</v>
      </c>
      <c r="G1106" s="3">
        <f t="shared" ca="1" si="121"/>
        <v>2.3680781758957656</v>
      </c>
      <c r="H1106" s="3">
        <f t="shared" ca="1" si="122"/>
        <v>1.223127035830619</v>
      </c>
      <c r="I1106" s="3">
        <f t="shared" ca="1" si="123"/>
        <v>44.055304536417857</v>
      </c>
      <c r="J1106" s="3">
        <f t="shared" ca="1" si="124"/>
        <v>12.573486932599723</v>
      </c>
      <c r="K1106" s="3">
        <f t="shared" ca="1" si="125"/>
        <v>24.343342210386147</v>
      </c>
    </row>
    <row r="1107" spans="3:11" x14ac:dyDescent="0.35">
      <c r="C1107" t="str">
        <f t="shared" ca="1" si="119"/>
        <v>2Q2024</v>
      </c>
      <c r="D1107" vm="2200">
        <f ca="1"/>
        <v>45551</v>
      </c>
      <c r="E1107" vm="2201">
        <f ca="1"/>
        <v>116.78</v>
      </c>
      <c r="F1107" s="3">
        <f t="shared" ca="1" si="120"/>
        <v>0.67585504885993486</v>
      </c>
      <c r="G1107" s="3">
        <f t="shared" ca="1" si="121"/>
        <v>2.3680781758957656</v>
      </c>
      <c r="H1107" s="3">
        <f t="shared" ca="1" si="122"/>
        <v>1.223127035830619</v>
      </c>
      <c r="I1107" s="3">
        <f t="shared" ca="1" si="123"/>
        <v>43.197132357370926</v>
      </c>
      <c r="J1107" s="3">
        <f t="shared" ca="1" si="124"/>
        <v>12.328562585969738</v>
      </c>
      <c r="K1107" s="3">
        <f t="shared" ca="1" si="125"/>
        <v>23.869147802929426</v>
      </c>
    </row>
    <row r="1108" spans="3:11" x14ac:dyDescent="0.35">
      <c r="C1108" t="str">
        <f t="shared" ca="1" si="119"/>
        <v>2Q2024</v>
      </c>
      <c r="D1108" vm="2202">
        <f ca="1"/>
        <v>45552</v>
      </c>
      <c r="E1108" vm="2203">
        <f ca="1"/>
        <v>115.59</v>
      </c>
      <c r="F1108" s="3">
        <f t="shared" ca="1" si="120"/>
        <v>0.67585504885993486</v>
      </c>
      <c r="G1108" s="3">
        <f t="shared" ca="1" si="121"/>
        <v>2.3680781758957656</v>
      </c>
      <c r="H1108" s="3">
        <f t="shared" ca="1" si="122"/>
        <v>1.223127035830619</v>
      </c>
      <c r="I1108" s="3">
        <f t="shared" ca="1" si="123"/>
        <v>42.756949213808063</v>
      </c>
      <c r="J1108" s="3">
        <f t="shared" ca="1" si="124"/>
        <v>12.202933287482805</v>
      </c>
      <c r="K1108" s="3">
        <f t="shared" ca="1" si="125"/>
        <v>23.62591877496671</v>
      </c>
    </row>
    <row r="1109" spans="3:11" x14ac:dyDescent="0.35">
      <c r="C1109" t="str">
        <f t="shared" ca="1" si="119"/>
        <v>2Q2024</v>
      </c>
      <c r="D1109" vm="2204">
        <f ca="1"/>
        <v>45553</v>
      </c>
      <c r="E1109" vm="2205">
        <f ca="1"/>
        <v>113.37</v>
      </c>
      <c r="F1109" s="3">
        <f t="shared" ca="1" si="120"/>
        <v>0.67585504885993486</v>
      </c>
      <c r="G1109" s="3">
        <f t="shared" ca="1" si="121"/>
        <v>2.3680781758957656</v>
      </c>
      <c r="H1109" s="3">
        <f t="shared" ca="1" si="122"/>
        <v>1.223127035830619</v>
      </c>
      <c r="I1109" s="3">
        <f t="shared" ca="1" si="123"/>
        <v>41.935767214892465</v>
      </c>
      <c r="J1109" s="3">
        <f t="shared" ca="1" si="124"/>
        <v>11.968566024759284</v>
      </c>
      <c r="K1109" s="3">
        <f t="shared" ca="1" si="125"/>
        <v>23.172163781624501</v>
      </c>
    </row>
    <row r="1110" spans="3:11" x14ac:dyDescent="0.35">
      <c r="C1110" t="str">
        <f t="shared" ca="1" si="119"/>
        <v>2Q2024</v>
      </c>
      <c r="D1110" vm="2206">
        <f ca="1"/>
        <v>45554</v>
      </c>
      <c r="E1110" vm="2207">
        <f ca="1"/>
        <v>117.87</v>
      </c>
      <c r="F1110" s="3">
        <f t="shared" ca="1" si="120"/>
        <v>0.67585504885993486</v>
      </c>
      <c r="G1110" s="3">
        <f t="shared" ca="1" si="121"/>
        <v>2.3680781758957656</v>
      </c>
      <c r="H1110" s="3">
        <f t="shared" ca="1" si="122"/>
        <v>1.223127035830619</v>
      </c>
      <c r="I1110" s="3">
        <f t="shared" ca="1" si="123"/>
        <v>43.600325320802462</v>
      </c>
      <c r="J1110" s="3">
        <f t="shared" ca="1" si="124"/>
        <v>12.443634800550205</v>
      </c>
      <c r="K1110" s="3">
        <f t="shared" ca="1" si="125"/>
        <v>24.091937416777629</v>
      </c>
    </row>
    <row r="1111" spans="3:11" x14ac:dyDescent="0.35">
      <c r="C1111" t="str">
        <f t="shared" ca="1" si="119"/>
        <v>2Q2024</v>
      </c>
      <c r="D1111" vm="2208">
        <f ca="1"/>
        <v>45555</v>
      </c>
      <c r="E1111" vm="2209">
        <f ca="1"/>
        <v>116</v>
      </c>
      <c r="F1111" s="3">
        <f t="shared" ca="1" si="120"/>
        <v>0.67585504885993486</v>
      </c>
      <c r="G1111" s="3">
        <f t="shared" ca="1" si="121"/>
        <v>2.3680781758957656</v>
      </c>
      <c r="H1111" s="3">
        <f t="shared" ca="1" si="122"/>
        <v>1.223127035830619</v>
      </c>
      <c r="I1111" s="3">
        <f t="shared" ca="1" si="123"/>
        <v>42.908608952346526</v>
      </c>
      <c r="J1111" s="3">
        <f t="shared" ca="1" si="124"/>
        <v>12.246217331499311</v>
      </c>
      <c r="K1111" s="3">
        <f t="shared" ca="1" si="125"/>
        <v>23.709720372836216</v>
      </c>
    </row>
    <row r="1112" spans="3:11" x14ac:dyDescent="0.35">
      <c r="C1112" t="str">
        <f t="shared" ca="1" si="119"/>
        <v>2Q2024</v>
      </c>
      <c r="D1112" vm="2210">
        <f ca="1"/>
        <v>45558</v>
      </c>
      <c r="E1112" vm="2211">
        <f ca="1"/>
        <v>116.26</v>
      </c>
      <c r="F1112" s="3">
        <f t="shared" ca="1" si="120"/>
        <v>0.67585504885993486</v>
      </c>
      <c r="G1112" s="3">
        <f t="shared" ca="1" si="121"/>
        <v>2.3680781758957656</v>
      </c>
      <c r="H1112" s="3">
        <f t="shared" ca="1" si="122"/>
        <v>1.223127035830619</v>
      </c>
      <c r="I1112" s="3">
        <f t="shared" ca="1" si="123"/>
        <v>43.004783420687993</v>
      </c>
      <c r="J1112" s="3">
        <f t="shared" ca="1" si="124"/>
        <v>12.273665749656121</v>
      </c>
      <c r="K1112" s="3">
        <f t="shared" ca="1" si="125"/>
        <v>23.762862849533953</v>
      </c>
    </row>
    <row r="1113" spans="3:11" x14ac:dyDescent="0.35">
      <c r="C1113" t="str">
        <f t="shared" ca="1" si="119"/>
        <v>2Q2024</v>
      </c>
      <c r="D1113" vm="2212">
        <f ca="1"/>
        <v>45559</v>
      </c>
      <c r="E1113" vm="2213">
        <f ca="1"/>
        <v>120.87</v>
      </c>
      <c r="F1113" s="3">
        <f t="shared" ca="1" si="120"/>
        <v>0.67585504885993486</v>
      </c>
      <c r="G1113" s="3">
        <f t="shared" ca="1" si="121"/>
        <v>2.3680781758957656</v>
      </c>
      <c r="H1113" s="3">
        <f t="shared" ca="1" si="122"/>
        <v>1.223127035830619</v>
      </c>
      <c r="I1113" s="3">
        <f t="shared" ca="1" si="123"/>
        <v>44.710030724742452</v>
      </c>
      <c r="J1113" s="3">
        <f t="shared" ca="1" si="124"/>
        <v>12.760347317744154</v>
      </c>
      <c r="K1113" s="3">
        <f t="shared" ca="1" si="125"/>
        <v>24.705119840213047</v>
      </c>
    </row>
    <row r="1114" spans="3:11" x14ac:dyDescent="0.35">
      <c r="C1114" t="str">
        <f t="shared" ca="1" si="119"/>
        <v>2Q2024</v>
      </c>
      <c r="D1114" vm="2214">
        <f ca="1"/>
        <v>45560</v>
      </c>
      <c r="E1114" vm="2215">
        <f ca="1"/>
        <v>123.51</v>
      </c>
      <c r="F1114" s="3">
        <f t="shared" ca="1" si="120"/>
        <v>0.67585504885993486</v>
      </c>
      <c r="G1114" s="3">
        <f t="shared" ca="1" si="121"/>
        <v>2.3680781758957656</v>
      </c>
      <c r="H1114" s="3">
        <f t="shared" ca="1" si="122"/>
        <v>1.223127035830619</v>
      </c>
      <c r="I1114" s="3">
        <f t="shared" ca="1" si="123"/>
        <v>45.686571480209651</v>
      </c>
      <c r="J1114" s="3">
        <f t="shared" ca="1" si="124"/>
        <v>13.039054332874828</v>
      </c>
      <c r="K1114" s="3">
        <f t="shared" ca="1" si="125"/>
        <v>25.244720372836216</v>
      </c>
    </row>
    <row r="1115" spans="3:11" x14ac:dyDescent="0.35">
      <c r="C1115" t="str">
        <f t="shared" ca="1" si="119"/>
        <v>2Q2024</v>
      </c>
      <c r="D1115" vm="2216">
        <f ca="1"/>
        <v>45561</v>
      </c>
      <c r="E1115" vm="2217">
        <f ca="1"/>
        <v>124.04</v>
      </c>
      <c r="F1115" s="3">
        <f t="shared" ca="1" si="120"/>
        <v>0.67585504885993486</v>
      </c>
      <c r="G1115" s="3">
        <f t="shared" ca="1" si="121"/>
        <v>2.3680781758957656</v>
      </c>
      <c r="H1115" s="3">
        <f t="shared" ca="1" si="122"/>
        <v>1.223127035830619</v>
      </c>
      <c r="I1115" s="3">
        <f t="shared" ca="1" si="123"/>
        <v>45.88261943490572</v>
      </c>
      <c r="J1115" s="3">
        <f t="shared" ca="1" si="124"/>
        <v>13.095006877579092</v>
      </c>
      <c r="K1115" s="3">
        <f t="shared" ca="1" si="125"/>
        <v>25.35304926764314</v>
      </c>
    </row>
    <row r="1116" spans="3:11" x14ac:dyDescent="0.35">
      <c r="C1116" t="str">
        <f t="shared" ca="1" si="119"/>
        <v>2Q2024</v>
      </c>
      <c r="D1116" vm="2218">
        <f ca="1"/>
        <v>45562</v>
      </c>
      <c r="E1116" vm="2219">
        <f ca="1"/>
        <v>121.4</v>
      </c>
      <c r="F1116" s="3">
        <f t="shared" ca="1" si="120"/>
        <v>0.67585504885993486</v>
      </c>
      <c r="G1116" s="3">
        <f t="shared" ca="1" si="121"/>
        <v>2.3680781758957656</v>
      </c>
      <c r="H1116" s="3">
        <f t="shared" ca="1" si="122"/>
        <v>1.223127035830619</v>
      </c>
      <c r="I1116" s="3">
        <f t="shared" ca="1" si="123"/>
        <v>44.906078679438522</v>
      </c>
      <c r="J1116" s="3">
        <f t="shared" ca="1" si="124"/>
        <v>12.816299862448417</v>
      </c>
      <c r="K1116" s="3">
        <f t="shared" ca="1" si="125"/>
        <v>24.813448735019971</v>
      </c>
    </row>
    <row r="1117" spans="3:11" x14ac:dyDescent="0.35">
      <c r="C1117" t="str">
        <f t="shared" ca="1" si="119"/>
        <v>2Q2024</v>
      </c>
      <c r="D1117" vm="2220">
        <f ca="1"/>
        <v>45565</v>
      </c>
      <c r="E1117" vm="2221">
        <f ca="1"/>
        <v>121.44</v>
      </c>
      <c r="F1117" s="3">
        <f t="shared" ca="1" si="120"/>
        <v>0.67585504885993486</v>
      </c>
      <c r="G1117" s="3">
        <f t="shared" ca="1" si="121"/>
        <v>2.3680781758957656</v>
      </c>
      <c r="H1117" s="3">
        <f t="shared" ca="1" si="122"/>
        <v>1.223127035830619</v>
      </c>
      <c r="I1117" s="3">
        <f t="shared" ca="1" si="123"/>
        <v>44.920874751491056</v>
      </c>
      <c r="J1117" s="3">
        <f t="shared" ca="1" si="124"/>
        <v>12.820522696011002</v>
      </c>
      <c r="K1117" s="3">
        <f t="shared" ca="1" si="125"/>
        <v>24.821624500665777</v>
      </c>
    </row>
    <row r="1118" spans="3:11" x14ac:dyDescent="0.35">
      <c r="C1118" t="str">
        <f t="shared" ca="1" si="119"/>
        <v>2Q2024</v>
      </c>
      <c r="D1118" vm="2222">
        <f ca="1"/>
        <v>45566</v>
      </c>
      <c r="E1118" vm="2223">
        <f ca="1"/>
        <v>117</v>
      </c>
      <c r="F1118" s="3">
        <f t="shared" ca="1" si="120"/>
        <v>0.67585504885993486</v>
      </c>
      <c r="G1118" s="3">
        <f t="shared" ca="1" si="121"/>
        <v>2.3680781758957656</v>
      </c>
      <c r="H1118" s="3">
        <f t="shared" ca="1" si="122"/>
        <v>1.223127035830619</v>
      </c>
      <c r="I1118" s="3">
        <f t="shared" ca="1" si="123"/>
        <v>43.278510753659859</v>
      </c>
      <c r="J1118" s="3">
        <f t="shared" ca="1" si="124"/>
        <v>12.35178817056396</v>
      </c>
      <c r="K1118" s="3">
        <f t="shared" ca="1" si="125"/>
        <v>23.914114513981357</v>
      </c>
    </row>
    <row r="1119" spans="3:11" x14ac:dyDescent="0.35">
      <c r="C1119" t="str">
        <f t="shared" ca="1" si="119"/>
        <v>2Q2024</v>
      </c>
      <c r="D1119" vm="2224">
        <f ca="1"/>
        <v>45567</v>
      </c>
      <c r="E1119" vm="2225">
        <f ca="1"/>
        <v>118.85</v>
      </c>
      <c r="F1119" s="3">
        <f t="shared" ca="1" si="120"/>
        <v>0.67585504885993486</v>
      </c>
      <c r="G1119" s="3">
        <f t="shared" ca="1" si="121"/>
        <v>2.3680781758957656</v>
      </c>
      <c r="H1119" s="3">
        <f t="shared" ca="1" si="122"/>
        <v>1.223127035830619</v>
      </c>
      <c r="I1119" s="3">
        <f t="shared" ca="1" si="123"/>
        <v>43.962829086089521</v>
      </c>
      <c r="J1119" s="3">
        <f t="shared" ca="1" si="124"/>
        <v>12.547094222833561</v>
      </c>
      <c r="K1119" s="3">
        <f t="shared" ca="1" si="125"/>
        <v>24.292243675099865</v>
      </c>
    </row>
    <row r="1120" spans="3:11" x14ac:dyDescent="0.35">
      <c r="C1120" t="str">
        <f t="shared" ca="1" si="119"/>
        <v>2Q2024</v>
      </c>
      <c r="D1120" vm="2226">
        <f ca="1"/>
        <v>45568</v>
      </c>
      <c r="E1120" vm="2227">
        <f ca="1"/>
        <v>122.85</v>
      </c>
      <c r="F1120" s="3">
        <f t="shared" ca="1" si="120"/>
        <v>0.67585504885993486</v>
      </c>
      <c r="G1120" s="3">
        <f t="shared" ca="1" si="121"/>
        <v>2.3680781758957656</v>
      </c>
      <c r="H1120" s="3">
        <f t="shared" ca="1" si="122"/>
        <v>1.223127035830619</v>
      </c>
      <c r="I1120" s="3">
        <f t="shared" ca="1" si="123"/>
        <v>45.442436291342851</v>
      </c>
      <c r="J1120" s="3">
        <f t="shared" ca="1" si="124"/>
        <v>12.969377579092159</v>
      </c>
      <c r="K1120" s="3">
        <f t="shared" ca="1" si="125"/>
        <v>25.109820239680424</v>
      </c>
    </row>
    <row r="1121" spans="3:11" x14ac:dyDescent="0.35">
      <c r="C1121" t="str">
        <f t="shared" ca="1" si="119"/>
        <v>2Q2024</v>
      </c>
      <c r="D1121" vm="2228">
        <f ca="1"/>
        <v>45569</v>
      </c>
      <c r="E1121" vm="2229">
        <f ca="1"/>
        <v>124.92</v>
      </c>
      <c r="F1121" s="3">
        <f t="shared" ca="1" si="120"/>
        <v>0.67585504885993486</v>
      </c>
      <c r="G1121" s="3">
        <f t="shared" ca="1" si="121"/>
        <v>2.3680781758957656</v>
      </c>
      <c r="H1121" s="3">
        <f t="shared" ca="1" si="122"/>
        <v>1.223127035830619</v>
      </c>
      <c r="I1121" s="3">
        <f t="shared" ca="1" si="123"/>
        <v>46.208133020061453</v>
      </c>
      <c r="J1121" s="3">
        <f t="shared" ca="1" si="124"/>
        <v>13.187909215955983</v>
      </c>
      <c r="K1121" s="3">
        <f t="shared" ca="1" si="125"/>
        <v>25.532916111850863</v>
      </c>
    </row>
    <row r="1122" spans="3:11" x14ac:dyDescent="0.35">
      <c r="C1122" t="str">
        <f t="shared" ca="1" si="119"/>
        <v>2Q2024</v>
      </c>
      <c r="D1122" vm="2230">
        <f ca="1"/>
        <v>45572</v>
      </c>
      <c r="E1122" vm="2231">
        <f ca="1"/>
        <v>127.72</v>
      </c>
      <c r="F1122" s="3">
        <f t="shared" ca="1" si="120"/>
        <v>0.67585504885993486</v>
      </c>
      <c r="G1122" s="3">
        <f t="shared" ca="1" si="121"/>
        <v>2.3680781758957656</v>
      </c>
      <c r="H1122" s="3">
        <f t="shared" ca="1" si="122"/>
        <v>1.223127035830619</v>
      </c>
      <c r="I1122" s="3">
        <f t="shared" ca="1" si="123"/>
        <v>47.243858063738777</v>
      </c>
      <c r="J1122" s="3">
        <f t="shared" ca="1" si="124"/>
        <v>13.483507565337</v>
      </c>
      <c r="K1122" s="3">
        <f t="shared" ca="1" si="125"/>
        <v>26.105219707057255</v>
      </c>
    </row>
    <row r="1123" spans="3:11" x14ac:dyDescent="0.35">
      <c r="C1123" t="str">
        <f t="shared" ca="1" si="119"/>
        <v>2Q2024</v>
      </c>
      <c r="D1123" vm="2232">
        <f ca="1"/>
        <v>45573</v>
      </c>
      <c r="E1123" vm="2233">
        <f ca="1"/>
        <v>132.88999999999999</v>
      </c>
      <c r="F1123" s="3">
        <f t="shared" ca="1" si="120"/>
        <v>0.67585504885993486</v>
      </c>
      <c r="G1123" s="3">
        <f t="shared" ca="1" si="121"/>
        <v>2.3680781758957656</v>
      </c>
      <c r="H1123" s="3">
        <f t="shared" ca="1" si="122"/>
        <v>1.223127035830619</v>
      </c>
      <c r="I1123" s="3">
        <f t="shared" ca="1" si="123"/>
        <v>49.156250376528703</v>
      </c>
      <c r="J1123" s="3">
        <f t="shared" ca="1" si="124"/>
        <v>14.029308803301236</v>
      </c>
      <c r="K1123" s="3">
        <f t="shared" ca="1" si="125"/>
        <v>27.161937416777626</v>
      </c>
    </row>
    <row r="1124" spans="3:11" x14ac:dyDescent="0.35">
      <c r="C1124" t="str">
        <f t="shared" ca="1" si="119"/>
        <v>2Q2024</v>
      </c>
      <c r="D1124" vm="2234">
        <f ca="1"/>
        <v>45574</v>
      </c>
      <c r="E1124" vm="2235">
        <f ca="1"/>
        <v>132.65</v>
      </c>
      <c r="F1124" s="3">
        <f t="shared" ca="1" si="120"/>
        <v>0.67585504885993486</v>
      </c>
      <c r="G1124" s="3">
        <f t="shared" ca="1" si="121"/>
        <v>2.3680781758957656</v>
      </c>
      <c r="H1124" s="3">
        <f t="shared" ca="1" si="122"/>
        <v>1.223127035830619</v>
      </c>
      <c r="I1124" s="3">
        <f t="shared" ca="1" si="123"/>
        <v>49.067473944213511</v>
      </c>
      <c r="J1124" s="3">
        <f t="shared" ca="1" si="124"/>
        <v>14.003971801925722</v>
      </c>
      <c r="K1124" s="3">
        <f t="shared" ca="1" si="125"/>
        <v>27.112882822902794</v>
      </c>
    </row>
    <row r="1125" spans="3:11" x14ac:dyDescent="0.35">
      <c r="C1125" t="str">
        <f t="shared" ca="1" si="119"/>
        <v>2Q2024</v>
      </c>
      <c r="D1125" vm="2236">
        <f ca="1"/>
        <v>45575</v>
      </c>
      <c r="E1125" vm="2237">
        <f ca="1"/>
        <v>134.81</v>
      </c>
      <c r="F1125" s="3">
        <f t="shared" ca="1" si="120"/>
        <v>0.67585504885993486</v>
      </c>
      <c r="G1125" s="3">
        <f t="shared" ca="1" si="121"/>
        <v>2.3680781758957656</v>
      </c>
      <c r="H1125" s="3">
        <f t="shared" ca="1" si="122"/>
        <v>1.223127035830619</v>
      </c>
      <c r="I1125" s="3">
        <f t="shared" ca="1" si="123"/>
        <v>49.866461835050302</v>
      </c>
      <c r="J1125" s="3">
        <f t="shared" ca="1" si="124"/>
        <v>14.232004814305364</v>
      </c>
      <c r="K1125" s="3">
        <f t="shared" ca="1" si="125"/>
        <v>27.554374167776295</v>
      </c>
    </row>
    <row r="1126" spans="3:11" x14ac:dyDescent="0.35">
      <c r="C1126" t="str">
        <f t="shared" ca="1" si="119"/>
        <v>2Q2024</v>
      </c>
      <c r="D1126" vm="2238">
        <f ca="1"/>
        <v>45576</v>
      </c>
      <c r="E1126" vm="2239">
        <f ca="1"/>
        <v>134.80000000000001</v>
      </c>
      <c r="F1126" s="3">
        <f t="shared" ca="1" si="120"/>
        <v>0.67585504885993486</v>
      </c>
      <c r="G1126" s="3">
        <f t="shared" ca="1" si="121"/>
        <v>2.3680781758957656</v>
      </c>
      <c r="H1126" s="3">
        <f t="shared" ca="1" si="122"/>
        <v>1.223127035830619</v>
      </c>
      <c r="I1126" s="3">
        <f t="shared" ca="1" si="123"/>
        <v>49.862762817037172</v>
      </c>
      <c r="J1126" s="3">
        <f t="shared" ca="1" si="124"/>
        <v>14.230949105914718</v>
      </c>
      <c r="K1126" s="3">
        <f t="shared" ca="1" si="125"/>
        <v>27.552330226364848</v>
      </c>
    </row>
    <row r="1127" spans="3:11" x14ac:dyDescent="0.35">
      <c r="C1127" t="str">
        <f t="shared" ca="1" si="119"/>
        <v>2Q2024</v>
      </c>
      <c r="D1127" vm="2240">
        <f ca="1"/>
        <v>45579</v>
      </c>
      <c r="E1127" vm="2241">
        <f ca="1"/>
        <v>138.07</v>
      </c>
      <c r="F1127" s="3">
        <f t="shared" ca="1" si="120"/>
        <v>0.67585504885993486</v>
      </c>
      <c r="G1127" s="3">
        <f t="shared" ca="1" si="121"/>
        <v>2.3680781758957656</v>
      </c>
      <c r="H1127" s="3">
        <f t="shared" ca="1" si="122"/>
        <v>1.223127035830619</v>
      </c>
      <c r="I1127" s="3">
        <f t="shared" ca="1" si="123"/>
        <v>51.072341707331766</v>
      </c>
      <c r="J1127" s="3">
        <f t="shared" ca="1" si="124"/>
        <v>14.57616574965612</v>
      </c>
      <c r="K1127" s="3">
        <f t="shared" ca="1" si="125"/>
        <v>28.22069906790945</v>
      </c>
    </row>
    <row r="1128" spans="3:11" x14ac:dyDescent="0.35">
      <c r="C1128" t="str">
        <f t="shared" ca="1" si="119"/>
        <v>2Q2024</v>
      </c>
      <c r="D1128" vm="2242">
        <f ca="1"/>
        <v>45580</v>
      </c>
      <c r="E1128" vm="2243">
        <f ca="1"/>
        <v>131.6</v>
      </c>
      <c r="F1128" s="3">
        <f t="shared" ca="1" si="120"/>
        <v>0.67585504885993486</v>
      </c>
      <c r="G1128" s="3">
        <f t="shared" ca="1" si="121"/>
        <v>2.3680781758957656</v>
      </c>
      <c r="H1128" s="3">
        <f t="shared" ca="1" si="122"/>
        <v>1.223127035830619</v>
      </c>
      <c r="I1128" s="3">
        <f t="shared" ca="1" si="123"/>
        <v>48.679077052834508</v>
      </c>
      <c r="J1128" s="3">
        <f t="shared" ca="1" si="124"/>
        <v>13.893122420907838</v>
      </c>
      <c r="K1128" s="3">
        <f t="shared" ca="1" si="125"/>
        <v>26.898268974700397</v>
      </c>
    </row>
    <row r="1129" spans="3:11" x14ac:dyDescent="0.35">
      <c r="C1129" t="str">
        <f t="shared" ca="1" si="119"/>
        <v>2Q2024</v>
      </c>
      <c r="D1129" vm="2244">
        <f ca="1"/>
        <v>45581</v>
      </c>
      <c r="E1129" vm="2245">
        <f ca="1"/>
        <v>135.72</v>
      </c>
      <c r="F1129" s="3">
        <f t="shared" ca="1" si="120"/>
        <v>0.67585504885993486</v>
      </c>
      <c r="G1129" s="3">
        <f t="shared" ca="1" si="121"/>
        <v>2.3680781758957656</v>
      </c>
      <c r="H1129" s="3">
        <f t="shared" ca="1" si="122"/>
        <v>1.223127035830619</v>
      </c>
      <c r="I1129" s="3">
        <f t="shared" ca="1" si="123"/>
        <v>50.203072474245438</v>
      </c>
      <c r="J1129" s="3">
        <f t="shared" ca="1" si="124"/>
        <v>14.328074277854194</v>
      </c>
      <c r="K1129" s="3">
        <f t="shared" ca="1" si="125"/>
        <v>27.740372836218373</v>
      </c>
    </row>
    <row r="1130" spans="3:11" x14ac:dyDescent="0.35">
      <c r="C1130" t="str">
        <f t="shared" ca="1" si="119"/>
        <v>2Q2024</v>
      </c>
      <c r="D1130" vm="2246">
        <f ca="1"/>
        <v>45582</v>
      </c>
      <c r="E1130" vm="2247">
        <f ca="1"/>
        <v>136.93</v>
      </c>
      <c r="F1130" s="3">
        <f t="shared" ca="1" si="120"/>
        <v>0.67585504885993486</v>
      </c>
      <c r="G1130" s="3">
        <f t="shared" ca="1" si="121"/>
        <v>2.3680781758957656</v>
      </c>
      <c r="H1130" s="3">
        <f t="shared" ca="1" si="122"/>
        <v>1.223127035830619</v>
      </c>
      <c r="I1130" s="3">
        <f t="shared" ca="1" si="123"/>
        <v>50.650653653834567</v>
      </c>
      <c r="J1130" s="3">
        <f t="shared" ca="1" si="124"/>
        <v>14.45581499312242</v>
      </c>
      <c r="K1130" s="3">
        <f t="shared" ca="1" si="125"/>
        <v>27.987689747003994</v>
      </c>
    </row>
    <row r="1131" spans="3:11" x14ac:dyDescent="0.35">
      <c r="C1131" t="str">
        <f t="shared" ca="1" si="119"/>
        <v>2Q2024</v>
      </c>
      <c r="D1131" vm="2248">
        <f ca="1"/>
        <v>45583</v>
      </c>
      <c r="E1131" vm="2249">
        <f ca="1"/>
        <v>138</v>
      </c>
      <c r="F1131" s="3">
        <f t="shared" ca="1" si="120"/>
        <v>0.67585504885993486</v>
      </c>
      <c r="G1131" s="3">
        <f t="shared" ca="1" si="121"/>
        <v>2.3680781758957656</v>
      </c>
      <c r="H1131" s="3">
        <f t="shared" ca="1" si="122"/>
        <v>1.223127035830619</v>
      </c>
      <c r="I1131" s="3">
        <f t="shared" ca="1" si="123"/>
        <v>51.046448581239837</v>
      </c>
      <c r="J1131" s="3">
        <f t="shared" ca="1" si="124"/>
        <v>14.568775790921595</v>
      </c>
      <c r="K1131" s="3">
        <f t="shared" ca="1" si="125"/>
        <v>28.206391478029293</v>
      </c>
    </row>
    <row r="1132" spans="3:11" x14ac:dyDescent="0.35">
      <c r="C1132" t="str">
        <f t="shared" ca="1" si="119"/>
        <v>2Q2024</v>
      </c>
      <c r="D1132" vm="2250">
        <f ca="1"/>
        <v>45586</v>
      </c>
      <c r="E1132" vm="2251">
        <f ca="1"/>
        <v>143.71</v>
      </c>
      <c r="F1132" s="3">
        <f t="shared" ca="1" si="120"/>
        <v>0.67585504885993486</v>
      </c>
      <c r="G1132" s="3">
        <f t="shared" ca="1" si="121"/>
        <v>2.3680781758957656</v>
      </c>
      <c r="H1132" s="3">
        <f t="shared" ca="1" si="122"/>
        <v>1.223127035830619</v>
      </c>
      <c r="I1132" s="3">
        <f t="shared" ca="1" si="123"/>
        <v>53.158587866738962</v>
      </c>
      <c r="J1132" s="3">
        <f t="shared" ca="1" si="124"/>
        <v>15.171585281980743</v>
      </c>
      <c r="K1132" s="3">
        <f t="shared" ca="1" si="125"/>
        <v>29.373482023968041</v>
      </c>
    </row>
    <row r="1133" spans="3:11" x14ac:dyDescent="0.35">
      <c r="C1133" t="str">
        <f t="shared" ca="1" si="119"/>
        <v>2Q2024</v>
      </c>
      <c r="D1133" vm="2252">
        <f ca="1"/>
        <v>45587</v>
      </c>
      <c r="E1133" vm="2253">
        <f ca="1"/>
        <v>143.59</v>
      </c>
      <c r="F1133" s="3">
        <f t="shared" ca="1" si="120"/>
        <v>0.67585504885993486</v>
      </c>
      <c r="G1133" s="3">
        <f t="shared" ca="1" si="121"/>
        <v>2.3680781758957656</v>
      </c>
      <c r="H1133" s="3">
        <f t="shared" ca="1" si="122"/>
        <v>1.223127035830619</v>
      </c>
      <c r="I1133" s="3">
        <f t="shared" ca="1" si="123"/>
        <v>53.114199650581362</v>
      </c>
      <c r="J1133" s="3">
        <f t="shared" ca="1" si="124"/>
        <v>15.158916781292984</v>
      </c>
      <c r="K1133" s="3">
        <f t="shared" ca="1" si="125"/>
        <v>29.348954727030623</v>
      </c>
    </row>
    <row r="1134" spans="3:11" x14ac:dyDescent="0.35">
      <c r="C1134" t="str">
        <f t="shared" ca="1" si="119"/>
        <v>2Q2024</v>
      </c>
      <c r="D1134" vm="2254">
        <f ca="1"/>
        <v>45588</v>
      </c>
      <c r="E1134" vm="2255">
        <f ca="1"/>
        <v>139.56</v>
      </c>
      <c r="F1134" s="3">
        <f t="shared" ca="1" si="120"/>
        <v>0.67585504885993486</v>
      </c>
      <c r="G1134" s="3">
        <f t="shared" ca="1" si="121"/>
        <v>2.3680781758957656</v>
      </c>
      <c r="H1134" s="3">
        <f t="shared" ca="1" si="122"/>
        <v>1.223127035830619</v>
      </c>
      <c r="I1134" s="3">
        <f t="shared" ca="1" si="123"/>
        <v>51.623495391288635</v>
      </c>
      <c r="J1134" s="3">
        <f t="shared" ca="1" si="124"/>
        <v>14.733466299862448</v>
      </c>
      <c r="K1134" s="3">
        <f t="shared" ca="1" si="125"/>
        <v>28.525246338215709</v>
      </c>
    </row>
    <row r="1135" spans="3:11" x14ac:dyDescent="0.35">
      <c r="C1135" t="str">
        <f t="shared" ca="1" si="119"/>
        <v>2Q2024</v>
      </c>
      <c r="D1135" vm="2256">
        <f ca="1"/>
        <v>45589</v>
      </c>
      <c r="E1135" vm="2257">
        <f ca="1"/>
        <v>140.41</v>
      </c>
      <c r="F1135" s="3">
        <f t="shared" ca="1" si="120"/>
        <v>0.67585504885993486</v>
      </c>
      <c r="G1135" s="3">
        <f t="shared" ca="1" si="121"/>
        <v>2.3680781758957656</v>
      </c>
      <c r="H1135" s="3">
        <f t="shared" ca="1" si="122"/>
        <v>1.223127035830619</v>
      </c>
      <c r="I1135" s="3">
        <f t="shared" ca="1" si="123"/>
        <v>51.937911922404965</v>
      </c>
      <c r="J1135" s="3">
        <f t="shared" ca="1" si="124"/>
        <v>14.823201513067399</v>
      </c>
      <c r="K1135" s="3">
        <f t="shared" ca="1" si="125"/>
        <v>28.698981358189076</v>
      </c>
    </row>
    <row r="1136" spans="3:11" x14ac:dyDescent="0.35">
      <c r="C1136" t="str">
        <f t="shared" ca="1" si="119"/>
        <v>2Q2024</v>
      </c>
      <c r="D1136" vm="2258">
        <f ca="1"/>
        <v>45590</v>
      </c>
      <c r="E1136" vm="2259">
        <f ca="1"/>
        <v>141.54</v>
      </c>
      <c r="F1136" s="3">
        <f t="shared" ca="1" si="120"/>
        <v>0.67585504885993486</v>
      </c>
      <c r="G1136" s="3">
        <f t="shared" ca="1" si="121"/>
        <v>2.3680781758957656</v>
      </c>
      <c r="H1136" s="3">
        <f t="shared" ca="1" si="122"/>
        <v>1.223127035830619</v>
      </c>
      <c r="I1136" s="3">
        <f t="shared" ca="1" si="123"/>
        <v>52.355900957889027</v>
      </c>
      <c r="J1136" s="3">
        <f t="shared" ca="1" si="124"/>
        <v>14.942496561210453</v>
      </c>
      <c r="K1136" s="3">
        <f t="shared" ca="1" si="125"/>
        <v>28.929946737683085</v>
      </c>
    </row>
    <row r="1137" spans="3:11" x14ac:dyDescent="0.35">
      <c r="C1137" t="str">
        <f t="shared" ca="1" si="119"/>
        <v>3Q2024</v>
      </c>
      <c r="D1137" vm="2260">
        <f ca="1"/>
        <v>45593</v>
      </c>
      <c r="E1137" vm="2261">
        <f ca="1"/>
        <v>140.52000000000001</v>
      </c>
      <c r="F1137" s="3">
        <f t="shared" ca="1" si="120"/>
        <v>0.78780089759281924</v>
      </c>
      <c r="G1137" s="3">
        <f t="shared" ca="1" si="121"/>
        <v>2.6886984904120768</v>
      </c>
      <c r="H1137" s="3">
        <f t="shared" ca="1" si="122"/>
        <v>1.4313341493268055</v>
      </c>
      <c r="I1137" s="3">
        <f t="shared" ca="1" si="123"/>
        <v>44.592485369516808</v>
      </c>
      <c r="J1137" s="3">
        <f t="shared" ca="1" si="124"/>
        <v>13.065801213960547</v>
      </c>
      <c r="K1137" s="3">
        <f t="shared" ca="1" si="125"/>
        <v>24.543535146228837</v>
      </c>
    </row>
    <row r="1138" spans="3:11" x14ac:dyDescent="0.35">
      <c r="C1138" t="str">
        <f t="shared" ca="1" si="119"/>
        <v>3Q2024</v>
      </c>
      <c r="D1138" vm="2262">
        <f ca="1"/>
        <v>45594</v>
      </c>
      <c r="E1138" vm="2263">
        <f ca="1"/>
        <v>141.25</v>
      </c>
      <c r="F1138" s="3">
        <f t="shared" ca="1" si="120"/>
        <v>0.78780089759281924</v>
      </c>
      <c r="G1138" s="3">
        <f t="shared" ca="1" si="121"/>
        <v>2.6886984904120768</v>
      </c>
      <c r="H1138" s="3">
        <f t="shared" ca="1" si="122"/>
        <v>1.4313341493268055</v>
      </c>
      <c r="I1138" s="3">
        <f t="shared" ca="1" si="123"/>
        <v>44.824142886736759</v>
      </c>
      <c r="J1138" s="3">
        <f t="shared" ca="1" si="124"/>
        <v>13.133677921092564</v>
      </c>
      <c r="K1138" s="3">
        <f t="shared" ca="1" si="125"/>
        <v>24.671038566786386</v>
      </c>
    </row>
    <row r="1139" spans="3:11" x14ac:dyDescent="0.35">
      <c r="C1139" t="str">
        <f t="shared" ca="1" si="119"/>
        <v>3Q2024</v>
      </c>
      <c r="D1139" vm="2264">
        <f ca="1"/>
        <v>45595</v>
      </c>
      <c r="E1139" vm="2265">
        <f ca="1"/>
        <v>139.33500000000001</v>
      </c>
      <c r="F1139" s="3">
        <f t="shared" ca="1" si="120"/>
        <v>0.78780089759281924</v>
      </c>
      <c r="G1139" s="3">
        <f t="shared" ca="1" si="121"/>
        <v>2.6886984904120768</v>
      </c>
      <c r="H1139" s="3">
        <f t="shared" ca="1" si="122"/>
        <v>1.4313341493268055</v>
      </c>
      <c r="I1139" s="3">
        <f t="shared" ca="1" si="123"/>
        <v>44.216438577865247</v>
      </c>
      <c r="J1139" s="3">
        <f t="shared" ca="1" si="124"/>
        <v>12.955617792109257</v>
      </c>
      <c r="K1139" s="3">
        <f t="shared" ca="1" si="125"/>
        <v>24.336560415597742</v>
      </c>
    </row>
    <row r="1140" spans="3:11" x14ac:dyDescent="0.35">
      <c r="C1140" t="str">
        <f t="shared" ca="1" si="119"/>
        <v>3Q2024</v>
      </c>
      <c r="D1140" vm="2266">
        <f ca="1"/>
        <v>45596</v>
      </c>
      <c r="E1140" vm="2267">
        <f ca="1"/>
        <v>132.76</v>
      </c>
      <c r="F1140" s="3">
        <f t="shared" ca="1" si="120"/>
        <v>0.78780089759281924</v>
      </c>
      <c r="G1140" s="3">
        <f t="shared" ca="1" si="121"/>
        <v>2.6886984904120768</v>
      </c>
      <c r="H1140" s="3">
        <f t="shared" ca="1" si="122"/>
        <v>1.4313341493268055</v>
      </c>
      <c r="I1140" s="3">
        <f t="shared" ca="1" si="123"/>
        <v>42.129934227562273</v>
      </c>
      <c r="J1140" s="3">
        <f t="shared" ca="1" si="124"/>
        <v>12.344262518968133</v>
      </c>
      <c r="K1140" s="3">
        <f t="shared" ca="1" si="125"/>
        <v>23.188156319480072</v>
      </c>
    </row>
    <row r="1141" spans="3:11" x14ac:dyDescent="0.35">
      <c r="C1141" t="str">
        <f t="shared" ca="1" si="119"/>
        <v>3Q2024</v>
      </c>
      <c r="D1141" vm="2268">
        <f ca="1"/>
        <v>45597</v>
      </c>
      <c r="E1141" vm="2269">
        <f ca="1"/>
        <v>135.4</v>
      </c>
      <c r="F1141" s="3">
        <f t="shared" ca="1" si="120"/>
        <v>0.78780089759281924</v>
      </c>
      <c r="G1141" s="3">
        <f t="shared" ca="1" si="121"/>
        <v>2.6886984904120768</v>
      </c>
      <c r="H1141" s="3">
        <f t="shared" ca="1" si="122"/>
        <v>1.4313341493268055</v>
      </c>
      <c r="I1141" s="3">
        <f t="shared" ca="1" si="123"/>
        <v>42.967709358330318</v>
      </c>
      <c r="J1141" s="3">
        <f t="shared" ca="1" si="124"/>
        <v>12.589734446130501</v>
      </c>
      <c r="K1141" s="3">
        <f t="shared" ca="1" si="125"/>
        <v>23.649264580126559</v>
      </c>
    </row>
    <row r="1142" spans="3:11" x14ac:dyDescent="0.35">
      <c r="C1142" t="str">
        <f t="shared" ca="1" si="119"/>
        <v>3Q2024</v>
      </c>
      <c r="D1142" vm="2270">
        <f ca="1"/>
        <v>45600</v>
      </c>
      <c r="E1142" vm="2271">
        <f ca="1"/>
        <v>136.05000000000001</v>
      </c>
      <c r="F1142" s="3">
        <f t="shared" ca="1" si="120"/>
        <v>0.78780089759281924</v>
      </c>
      <c r="G1142" s="3">
        <f t="shared" ca="1" si="121"/>
        <v>2.6886984904120768</v>
      </c>
      <c r="H1142" s="3">
        <f t="shared" ca="1" si="122"/>
        <v>1.4313341493268055</v>
      </c>
      <c r="I1142" s="3">
        <f t="shared" ca="1" si="123"/>
        <v>43.17397975037548</v>
      </c>
      <c r="J1142" s="3">
        <f t="shared" ca="1" si="124"/>
        <v>12.650172610015176</v>
      </c>
      <c r="K1142" s="3">
        <f t="shared" ca="1" si="125"/>
        <v>23.762795023088763</v>
      </c>
    </row>
    <row r="1143" spans="3:11" x14ac:dyDescent="0.35">
      <c r="C1143" t="str">
        <f t="shared" ca="1" si="119"/>
        <v>3Q2024</v>
      </c>
      <c r="D1143" vm="2272">
        <f ca="1"/>
        <v>45601</v>
      </c>
      <c r="E1143" vm="2273">
        <f ca="1"/>
        <v>139.91</v>
      </c>
      <c r="F1143" s="3">
        <f t="shared" ca="1" si="120"/>
        <v>0.78780089759281924</v>
      </c>
      <c r="G1143" s="3">
        <f t="shared" ca="1" si="121"/>
        <v>2.6886984904120768</v>
      </c>
      <c r="H1143" s="3">
        <f t="shared" ca="1" si="122"/>
        <v>1.4313341493268055</v>
      </c>
      <c r="I1143" s="3">
        <f t="shared" ca="1" si="123"/>
        <v>44.39890854005904</v>
      </c>
      <c r="J1143" s="3">
        <f t="shared" ca="1" si="124"/>
        <v>13.009082321699545</v>
      </c>
      <c r="K1143" s="3">
        <f t="shared" ca="1" si="125"/>
        <v>24.436991192064305</v>
      </c>
    </row>
    <row r="1144" spans="3:11" x14ac:dyDescent="0.35">
      <c r="C1144" t="str">
        <f t="shared" ca="1" si="119"/>
        <v>3Q2024</v>
      </c>
      <c r="D1144" vm="2274">
        <f ca="1"/>
        <v>45602</v>
      </c>
      <c r="E1144" vm="2275">
        <f ca="1"/>
        <v>145.61000000000001</v>
      </c>
      <c r="F1144" s="3">
        <f t="shared" ca="1" si="120"/>
        <v>0.78780089759281924</v>
      </c>
      <c r="G1144" s="3">
        <f t="shared" ca="1" si="121"/>
        <v>2.6886984904120768</v>
      </c>
      <c r="H1144" s="3">
        <f t="shared" ca="1" si="122"/>
        <v>1.4313341493268055</v>
      </c>
      <c r="I1144" s="3">
        <f t="shared" ca="1" si="123"/>
        <v>46.207741208762755</v>
      </c>
      <c r="J1144" s="3">
        <f t="shared" ca="1" si="124"/>
        <v>13.539078528072839</v>
      </c>
      <c r="K1144" s="3">
        <f t="shared" ca="1" si="125"/>
        <v>25.432565845732857</v>
      </c>
    </row>
    <row r="1145" spans="3:11" x14ac:dyDescent="0.35">
      <c r="C1145" t="str">
        <f t="shared" ca="1" si="119"/>
        <v>3Q2024</v>
      </c>
      <c r="D1145" vm="2276">
        <f ca="1"/>
        <v>45603</v>
      </c>
      <c r="E1145" vm="2277">
        <f ca="1"/>
        <v>148.88</v>
      </c>
      <c r="F1145" s="3">
        <f t="shared" ca="1" si="120"/>
        <v>0.78780089759281924</v>
      </c>
      <c r="G1145" s="3">
        <f t="shared" ca="1" si="121"/>
        <v>2.6886984904120768</v>
      </c>
      <c r="H1145" s="3">
        <f t="shared" ca="1" si="122"/>
        <v>1.4313341493268055</v>
      </c>
      <c r="I1145" s="3">
        <f t="shared" ca="1" si="123"/>
        <v>47.245439950282254</v>
      </c>
      <c r="J1145" s="3">
        <f t="shared" ca="1" si="124"/>
        <v>13.843128983308041</v>
      </c>
      <c r="K1145" s="3">
        <f t="shared" ca="1" si="125"/>
        <v>26.003711304942705</v>
      </c>
    </row>
    <row r="1146" spans="3:11" x14ac:dyDescent="0.35">
      <c r="C1146" t="str">
        <f t="shared" ca="1" si="119"/>
        <v>3Q2024</v>
      </c>
      <c r="D1146" vm="2278">
        <f ca="1"/>
        <v>45604</v>
      </c>
      <c r="E1146" vm="2279">
        <f ca="1"/>
        <v>147.63</v>
      </c>
      <c r="F1146" s="3">
        <f t="shared" ca="1" si="120"/>
        <v>0.78780089759281924</v>
      </c>
      <c r="G1146" s="3">
        <f t="shared" ca="1" si="121"/>
        <v>2.6886984904120768</v>
      </c>
      <c r="H1146" s="3">
        <f t="shared" ca="1" si="122"/>
        <v>1.4313341493268055</v>
      </c>
      <c r="I1146" s="3">
        <f t="shared" ca="1" si="123"/>
        <v>46.848766119426173</v>
      </c>
      <c r="J1146" s="3">
        <f t="shared" ca="1" si="124"/>
        <v>13.726901745068284</v>
      </c>
      <c r="K1146" s="3">
        <f t="shared" ca="1" si="125"/>
        <v>25.785383530015391</v>
      </c>
    </row>
    <row r="1147" spans="3:11" x14ac:dyDescent="0.35">
      <c r="C1147" t="str">
        <f t="shared" ca="1" si="119"/>
        <v>3Q2024</v>
      </c>
      <c r="D1147" vm="2280">
        <f ca="1"/>
        <v>45607</v>
      </c>
      <c r="E1147" vm="2281">
        <f ca="1"/>
        <v>145.26</v>
      </c>
      <c r="F1147" s="3">
        <f t="shared" ca="1" si="120"/>
        <v>0.78780089759281924</v>
      </c>
      <c r="G1147" s="3">
        <f t="shared" ca="1" si="121"/>
        <v>2.6886984904120768</v>
      </c>
      <c r="H1147" s="3">
        <f t="shared" ca="1" si="122"/>
        <v>1.4313341493268055</v>
      </c>
      <c r="I1147" s="3">
        <f t="shared" ca="1" si="123"/>
        <v>46.096672536123052</v>
      </c>
      <c r="J1147" s="3">
        <f t="shared" ca="1" si="124"/>
        <v>13.506534901365704</v>
      </c>
      <c r="K1147" s="3">
        <f t="shared" ca="1" si="125"/>
        <v>25.371434068753203</v>
      </c>
    </row>
    <row r="1148" spans="3:11" x14ac:dyDescent="0.35">
      <c r="C1148" t="str">
        <f t="shared" ca="1" si="119"/>
        <v>3Q2024</v>
      </c>
      <c r="D1148" vm="2282">
        <f ca="1"/>
        <v>45608</v>
      </c>
      <c r="E1148" vm="2283">
        <f ca="1"/>
        <v>148.29</v>
      </c>
      <c r="F1148" s="3">
        <f t="shared" ca="1" si="120"/>
        <v>0.78780089759281924</v>
      </c>
      <c r="G1148" s="3">
        <f t="shared" ca="1" si="121"/>
        <v>2.6886984904120768</v>
      </c>
      <c r="H1148" s="3">
        <f t="shared" ca="1" si="122"/>
        <v>1.4313341493268055</v>
      </c>
      <c r="I1148" s="3">
        <f t="shared" ca="1" si="123"/>
        <v>47.058209902118179</v>
      </c>
      <c r="J1148" s="3">
        <f t="shared" ca="1" si="124"/>
        <v>13.788269726858877</v>
      </c>
      <c r="K1148" s="3">
        <f t="shared" ca="1" si="125"/>
        <v>25.900660595177012</v>
      </c>
    </row>
    <row r="1149" spans="3:11" x14ac:dyDescent="0.35">
      <c r="C1149" t="str">
        <f t="shared" ca="1" si="119"/>
        <v>3Q2024</v>
      </c>
      <c r="D1149" vm="2284">
        <f ca="1"/>
        <v>45609</v>
      </c>
      <c r="E1149" vm="2285">
        <f ca="1"/>
        <v>146.27000000000001</v>
      </c>
      <c r="F1149" s="3">
        <f t="shared" ca="1" si="120"/>
        <v>0.78780089759281924</v>
      </c>
      <c r="G1149" s="3">
        <f t="shared" ca="1" si="121"/>
        <v>2.6886984904120768</v>
      </c>
      <c r="H1149" s="3">
        <f t="shared" ca="1" si="122"/>
        <v>1.4313341493268055</v>
      </c>
      <c r="I1149" s="3">
        <f t="shared" ca="1" si="123"/>
        <v>46.417184991454768</v>
      </c>
      <c r="J1149" s="3">
        <f t="shared" ca="1" si="124"/>
        <v>13.60044650986343</v>
      </c>
      <c r="K1149" s="3">
        <f t="shared" ca="1" si="125"/>
        <v>25.547842910894477</v>
      </c>
    </row>
    <row r="1150" spans="3:11" x14ac:dyDescent="0.35">
      <c r="C1150" t="str">
        <f t="shared" ca="1" si="119"/>
        <v>3Q2024</v>
      </c>
      <c r="D1150" vm="2286">
        <f ca="1"/>
        <v>45610</v>
      </c>
      <c r="E1150" vm="2287">
        <f ca="1"/>
        <v>146.76</v>
      </c>
      <c r="F1150" s="3">
        <f t="shared" ca="1" si="120"/>
        <v>0.78780089759281924</v>
      </c>
      <c r="G1150" s="3">
        <f t="shared" ca="1" si="121"/>
        <v>2.6886984904120768</v>
      </c>
      <c r="H1150" s="3">
        <f t="shared" ca="1" si="122"/>
        <v>1.4313341493268055</v>
      </c>
      <c r="I1150" s="3">
        <f t="shared" ca="1" si="123"/>
        <v>46.57268113315034</v>
      </c>
      <c r="J1150" s="3">
        <f t="shared" ca="1" si="124"/>
        <v>13.646007587253413</v>
      </c>
      <c r="K1150" s="3">
        <f t="shared" ca="1" si="125"/>
        <v>25.63342739866598</v>
      </c>
    </row>
    <row r="1151" spans="3:11" x14ac:dyDescent="0.35">
      <c r="C1151" t="str">
        <f t="shared" ca="1" si="119"/>
        <v>3Q2024</v>
      </c>
      <c r="D1151" vm="2288">
        <f ca="1"/>
        <v>45611</v>
      </c>
      <c r="E1151" vm="2289">
        <f ca="1"/>
        <v>141.97999999999999</v>
      </c>
      <c r="F1151" s="3">
        <f t="shared" ca="1" si="120"/>
        <v>0.78780089759281924</v>
      </c>
      <c r="G1151" s="3">
        <f t="shared" ca="1" si="121"/>
        <v>2.6886984904120768</v>
      </c>
      <c r="H1151" s="3">
        <f t="shared" ca="1" si="122"/>
        <v>1.4313341493268055</v>
      </c>
      <c r="I1151" s="3">
        <f t="shared" ca="1" si="123"/>
        <v>45.055800403956702</v>
      </c>
      <c r="J1151" s="3">
        <f t="shared" ca="1" si="124"/>
        <v>13.201554628224581</v>
      </c>
      <c r="K1151" s="3">
        <f t="shared" ca="1" si="125"/>
        <v>24.798541987343935</v>
      </c>
    </row>
    <row r="1152" spans="3:11" x14ac:dyDescent="0.35">
      <c r="C1152" t="str">
        <f t="shared" ca="1" si="119"/>
        <v>3Q2024</v>
      </c>
      <c r="D1152" vm="2290">
        <f ca="1"/>
        <v>45614</v>
      </c>
      <c r="E1152" vm="2291">
        <f ca="1"/>
        <v>140.15</v>
      </c>
      <c r="F1152" s="3">
        <f t="shared" ca="1" si="120"/>
        <v>0.78780089759281924</v>
      </c>
      <c r="G1152" s="3">
        <f t="shared" ca="1" si="121"/>
        <v>2.6886984904120768</v>
      </c>
      <c r="H1152" s="3">
        <f t="shared" ca="1" si="122"/>
        <v>1.4313341493268055</v>
      </c>
      <c r="I1152" s="3">
        <f t="shared" ca="1" si="123"/>
        <v>44.475069915583411</v>
      </c>
      <c r="J1152" s="3">
        <f t="shared" ca="1" si="124"/>
        <v>13.031397951441578</v>
      </c>
      <c r="K1152" s="3">
        <f t="shared" ca="1" si="125"/>
        <v>24.478910124850351</v>
      </c>
    </row>
    <row r="1153" spans="3:11" x14ac:dyDescent="0.35">
      <c r="C1153" t="str">
        <f t="shared" ca="1" si="119"/>
        <v>3Q2024</v>
      </c>
      <c r="D1153" vm="2292">
        <f ca="1"/>
        <v>45615</v>
      </c>
      <c r="E1153" vm="2293">
        <f ca="1"/>
        <v>147.01</v>
      </c>
      <c r="F1153" s="3">
        <f t="shared" ca="1" si="120"/>
        <v>0.78780089759281924</v>
      </c>
      <c r="G1153" s="3">
        <f t="shared" ca="1" si="121"/>
        <v>2.6886984904120768</v>
      </c>
      <c r="H1153" s="3">
        <f t="shared" ca="1" si="122"/>
        <v>1.4313341493268055</v>
      </c>
      <c r="I1153" s="3">
        <f t="shared" ca="1" si="123"/>
        <v>46.652015899321562</v>
      </c>
      <c r="J1153" s="3">
        <f t="shared" ca="1" si="124"/>
        <v>13.669253034901365</v>
      </c>
      <c r="K1153" s="3">
        <f t="shared" ca="1" si="125"/>
        <v>25.677092953651442</v>
      </c>
    </row>
    <row r="1154" spans="3:11" x14ac:dyDescent="0.35">
      <c r="C1154" t="str">
        <f t="shared" ca="1" si="119"/>
        <v>3Q2024</v>
      </c>
      <c r="D1154" vm="2294">
        <f ca="1"/>
        <v>45616</v>
      </c>
      <c r="E1154" vm="2295">
        <f ca="1"/>
        <v>145.88999999999999</v>
      </c>
      <c r="F1154" s="3">
        <f t="shared" ca="1" si="120"/>
        <v>0.78780089759281924</v>
      </c>
      <c r="G1154" s="3">
        <f t="shared" ca="1" si="121"/>
        <v>2.6886984904120768</v>
      </c>
      <c r="H1154" s="3">
        <f t="shared" ca="1" si="122"/>
        <v>1.4313341493268055</v>
      </c>
      <c r="I1154" s="3">
        <f t="shared" ca="1" si="123"/>
        <v>46.296596146874514</v>
      </c>
      <c r="J1154" s="3">
        <f t="shared" ca="1" si="124"/>
        <v>13.565113429438542</v>
      </c>
      <c r="K1154" s="3">
        <f t="shared" ca="1" si="125"/>
        <v>25.481471267316568</v>
      </c>
    </row>
    <row r="1155" spans="3:11" x14ac:dyDescent="0.35">
      <c r="C1155" t="str">
        <f t="shared" ref="C1155:C1218" ca="1" si="126">LOOKUP(D1155,$N$2:$N$27,$M$2:$M$27)</f>
        <v>3Q2024</v>
      </c>
      <c r="D1155" vm="2296">
        <f ca="1"/>
        <v>45617</v>
      </c>
      <c r="E1155" vm="2297">
        <f ca="1"/>
        <v>146.66999999999999</v>
      </c>
      <c r="F1155" s="3">
        <f t="shared" ca="1" si="120"/>
        <v>0.78780089759281924</v>
      </c>
      <c r="G1155" s="3">
        <f t="shared" ca="1" si="121"/>
        <v>2.6886984904120768</v>
      </c>
      <c r="H1155" s="3">
        <f t="shared" ca="1" si="122"/>
        <v>1.4313341493268055</v>
      </c>
      <c r="I1155" s="3">
        <f t="shared" ca="1" si="123"/>
        <v>46.544120617328701</v>
      </c>
      <c r="J1155" s="3">
        <f t="shared" ca="1" si="124"/>
        <v>13.63763922610015</v>
      </c>
      <c r="K1155" s="3">
        <f t="shared" ca="1" si="125"/>
        <v>25.617707798871212</v>
      </c>
    </row>
    <row r="1156" spans="3:11" x14ac:dyDescent="0.35">
      <c r="C1156" t="str">
        <f t="shared" ca="1" si="126"/>
        <v>3Q2024</v>
      </c>
      <c r="D1156" vm="2298">
        <f ca="1"/>
        <v>45618</v>
      </c>
      <c r="E1156" vm="2299">
        <f ca="1"/>
        <v>141.94999999999999</v>
      </c>
      <c r="F1156" s="3">
        <f t="shared" ref="F1156:F1219" ca="1" si="127">VLOOKUP($C1156,$M$2:$R$27,4,0)/VLOOKUP($C1156,$M$2:$R$27,3,0)</f>
        <v>0.78780089759281924</v>
      </c>
      <c r="G1156" s="3">
        <f t="shared" ref="G1156:G1219" ca="1" si="128">VLOOKUP($C1156,$M$2:$R$27,6,0)/VLOOKUP($C1156,$M$2:$R$27,3,0)</f>
        <v>2.6886984904120768</v>
      </c>
      <c r="H1156" s="3">
        <f t="shared" ref="H1156:H1219" ca="1" si="129">VLOOKUP($C1156,$M$2:$R$27,5,0)/VLOOKUP($C1156,$M$2:$R$27,3,0)</f>
        <v>1.4313341493268055</v>
      </c>
      <c r="I1156" s="3">
        <f t="shared" ref="I1156:I1219" ca="1" si="130">$E1156/(F1156*4)</f>
        <v>45.046280232016159</v>
      </c>
      <c r="J1156" s="3">
        <f t="shared" ref="J1156:J1219" ca="1" si="131">$E1156/(G1156*4)</f>
        <v>13.198765174506827</v>
      </c>
      <c r="K1156" s="3">
        <f t="shared" ref="K1156:K1219" ca="1" si="132">$E1156/(H1156*4)</f>
        <v>24.793302120745679</v>
      </c>
    </row>
    <row r="1157" spans="3:11" x14ac:dyDescent="0.35">
      <c r="C1157" t="str">
        <f t="shared" ca="1" si="126"/>
        <v>3Q2024</v>
      </c>
      <c r="D1157" vm="2300">
        <f ca="1"/>
        <v>45621</v>
      </c>
      <c r="E1157" vm="2301">
        <f ca="1"/>
        <v>136.02000000000001</v>
      </c>
      <c r="F1157" s="3">
        <f t="shared" ca="1" si="127"/>
        <v>0.78780089759281924</v>
      </c>
      <c r="G1157" s="3">
        <f t="shared" ca="1" si="128"/>
        <v>2.6886984904120768</v>
      </c>
      <c r="H1157" s="3">
        <f t="shared" ca="1" si="129"/>
        <v>1.4313341493268055</v>
      </c>
      <c r="I1157" s="3">
        <f t="shared" ca="1" si="130"/>
        <v>43.164459578434929</v>
      </c>
      <c r="J1157" s="3">
        <f t="shared" ca="1" si="131"/>
        <v>12.647383156297421</v>
      </c>
      <c r="K1157" s="3">
        <f t="shared" ca="1" si="132"/>
        <v>23.757555156490508</v>
      </c>
    </row>
    <row r="1158" spans="3:11" x14ac:dyDescent="0.35">
      <c r="C1158" t="str">
        <f t="shared" ca="1" si="126"/>
        <v>3Q2024</v>
      </c>
      <c r="D1158" vm="2302">
        <f ca="1"/>
        <v>45622</v>
      </c>
      <c r="E1158" vm="2303">
        <f ca="1"/>
        <v>136.91999999999999</v>
      </c>
      <c r="F1158" s="3">
        <f t="shared" ca="1" si="127"/>
        <v>0.78780089759281924</v>
      </c>
      <c r="G1158" s="3">
        <f t="shared" ca="1" si="128"/>
        <v>2.6886984904120768</v>
      </c>
      <c r="H1158" s="3">
        <f t="shared" ca="1" si="129"/>
        <v>1.4313341493268055</v>
      </c>
      <c r="I1158" s="3">
        <f t="shared" ca="1" si="130"/>
        <v>43.450064736651299</v>
      </c>
      <c r="J1158" s="3">
        <f t="shared" ca="1" si="131"/>
        <v>12.731066767830043</v>
      </c>
      <c r="K1158" s="3">
        <f t="shared" ca="1" si="132"/>
        <v>23.914751154438171</v>
      </c>
    </row>
    <row r="1159" spans="3:11" x14ac:dyDescent="0.35">
      <c r="C1159" t="str">
        <f t="shared" ca="1" si="126"/>
        <v>3Q2024</v>
      </c>
      <c r="D1159" vm="2304">
        <f ca="1"/>
        <v>45623</v>
      </c>
      <c r="E1159" vm="2305">
        <f ca="1"/>
        <v>135.34</v>
      </c>
      <c r="F1159" s="3">
        <f t="shared" ca="1" si="127"/>
        <v>0.78780089759281924</v>
      </c>
      <c r="G1159" s="3">
        <f t="shared" ca="1" si="128"/>
        <v>2.6886984904120768</v>
      </c>
      <c r="H1159" s="3">
        <f t="shared" ca="1" si="129"/>
        <v>1.4313341493268055</v>
      </c>
      <c r="I1159" s="3">
        <f t="shared" ca="1" si="130"/>
        <v>42.948669014449223</v>
      </c>
      <c r="J1159" s="3">
        <f t="shared" ca="1" si="131"/>
        <v>12.584155538694992</v>
      </c>
      <c r="K1159" s="3">
        <f t="shared" ca="1" si="132"/>
        <v>23.638784846930047</v>
      </c>
    </row>
    <row r="1160" spans="3:11" x14ac:dyDescent="0.35">
      <c r="C1160" t="str">
        <f t="shared" ca="1" si="126"/>
        <v>3Q2024</v>
      </c>
      <c r="D1160" vm="2306">
        <f ca="1"/>
        <v>45625</v>
      </c>
      <c r="E1160" vm="2307">
        <f ca="1"/>
        <v>138.25</v>
      </c>
      <c r="F1160" s="3">
        <f t="shared" ca="1" si="127"/>
        <v>0.78780089759281924</v>
      </c>
      <c r="G1160" s="3">
        <f t="shared" ca="1" si="128"/>
        <v>2.6886984904120768</v>
      </c>
      <c r="H1160" s="3">
        <f t="shared" ca="1" si="129"/>
        <v>1.4313341493268055</v>
      </c>
      <c r="I1160" s="3">
        <f t="shared" ca="1" si="130"/>
        <v>43.872125692682168</v>
      </c>
      <c r="J1160" s="3">
        <f t="shared" ca="1" si="131"/>
        <v>12.854732549317147</v>
      </c>
      <c r="K1160" s="3">
        <f t="shared" ca="1" si="132"/>
        <v>24.147051906960833</v>
      </c>
    </row>
    <row r="1161" spans="3:11" x14ac:dyDescent="0.35">
      <c r="C1161" t="str">
        <f t="shared" ca="1" si="126"/>
        <v>3Q2024</v>
      </c>
      <c r="D1161" vm="2308">
        <f ca="1"/>
        <v>45628</v>
      </c>
      <c r="E1161" vm="2309">
        <f ca="1"/>
        <v>138.63</v>
      </c>
      <c r="F1161" s="3">
        <f t="shared" ca="1" si="127"/>
        <v>0.78780089759281924</v>
      </c>
      <c r="G1161" s="3">
        <f t="shared" ca="1" si="128"/>
        <v>2.6886984904120768</v>
      </c>
      <c r="H1161" s="3">
        <f t="shared" ca="1" si="129"/>
        <v>1.4313341493268055</v>
      </c>
      <c r="I1161" s="3">
        <f t="shared" ca="1" si="130"/>
        <v>43.992714537262415</v>
      </c>
      <c r="J1161" s="3">
        <f t="shared" ca="1" si="131"/>
        <v>12.890065629742033</v>
      </c>
      <c r="K1161" s="3">
        <f t="shared" ca="1" si="132"/>
        <v>24.213423550538735</v>
      </c>
    </row>
    <row r="1162" spans="3:11" x14ac:dyDescent="0.35">
      <c r="C1162" t="str">
        <f t="shared" ca="1" si="126"/>
        <v>3Q2024</v>
      </c>
      <c r="D1162" vm="2310">
        <f ca="1"/>
        <v>45629</v>
      </c>
      <c r="E1162" vm="2311">
        <f ca="1"/>
        <v>140.26</v>
      </c>
      <c r="F1162" s="3">
        <f t="shared" ca="1" si="127"/>
        <v>0.78780089759281924</v>
      </c>
      <c r="G1162" s="3">
        <f t="shared" ca="1" si="128"/>
        <v>2.6886984904120768</v>
      </c>
      <c r="H1162" s="3">
        <f t="shared" ca="1" si="129"/>
        <v>1.4313341493268055</v>
      </c>
      <c r="I1162" s="3">
        <f t="shared" ca="1" si="130"/>
        <v>44.509977212698743</v>
      </c>
      <c r="J1162" s="3">
        <f t="shared" ca="1" si="131"/>
        <v>13.041625948406676</v>
      </c>
      <c r="K1162" s="3">
        <f t="shared" ca="1" si="132"/>
        <v>24.498122969043951</v>
      </c>
    </row>
    <row r="1163" spans="3:11" x14ac:dyDescent="0.35">
      <c r="C1163" t="str">
        <f t="shared" ca="1" si="126"/>
        <v>3Q2024</v>
      </c>
      <c r="D1163" vm="2312">
        <f ca="1"/>
        <v>45630</v>
      </c>
      <c r="E1163" vm="2313">
        <f ca="1"/>
        <v>145.13999999999999</v>
      </c>
      <c r="F1163" s="3">
        <f t="shared" ca="1" si="127"/>
        <v>0.78780089759281924</v>
      </c>
      <c r="G1163" s="3">
        <f t="shared" ca="1" si="128"/>
        <v>2.6886984904120768</v>
      </c>
      <c r="H1163" s="3">
        <f t="shared" ca="1" si="129"/>
        <v>1.4313341493268055</v>
      </c>
      <c r="I1163" s="3">
        <f t="shared" ca="1" si="130"/>
        <v>46.058591848360862</v>
      </c>
      <c r="J1163" s="3">
        <f t="shared" ca="1" si="131"/>
        <v>13.495377086494688</v>
      </c>
      <c r="K1163" s="3">
        <f t="shared" ca="1" si="132"/>
        <v>25.35047460236018</v>
      </c>
    </row>
    <row r="1164" spans="3:11" x14ac:dyDescent="0.35">
      <c r="C1164" t="str">
        <f t="shared" ca="1" si="126"/>
        <v>3Q2024</v>
      </c>
      <c r="D1164" vm="2314">
        <f ca="1"/>
        <v>45631</v>
      </c>
      <c r="E1164" vm="2315">
        <f ca="1"/>
        <v>145.06</v>
      </c>
      <c r="F1164" s="3">
        <f t="shared" ca="1" si="127"/>
        <v>0.78780089759281924</v>
      </c>
      <c r="G1164" s="3">
        <f t="shared" ca="1" si="128"/>
        <v>2.6886984904120768</v>
      </c>
      <c r="H1164" s="3">
        <f t="shared" ca="1" si="129"/>
        <v>1.4313341493268055</v>
      </c>
      <c r="I1164" s="3">
        <f t="shared" ca="1" si="130"/>
        <v>46.033204723186081</v>
      </c>
      <c r="J1164" s="3">
        <f t="shared" ca="1" si="131"/>
        <v>13.487938543247344</v>
      </c>
      <c r="K1164" s="3">
        <f t="shared" ca="1" si="132"/>
        <v>25.336501624764836</v>
      </c>
    </row>
    <row r="1165" spans="3:11" x14ac:dyDescent="0.35">
      <c r="C1165" t="str">
        <f t="shared" ca="1" si="126"/>
        <v>3Q2024</v>
      </c>
      <c r="D1165" vm="2316">
        <f ca="1"/>
        <v>45632</v>
      </c>
      <c r="E1165" vm="2317">
        <f ca="1"/>
        <v>142.44</v>
      </c>
      <c r="F1165" s="3">
        <f t="shared" ca="1" si="127"/>
        <v>0.78780089759281924</v>
      </c>
      <c r="G1165" s="3">
        <f t="shared" ca="1" si="128"/>
        <v>2.6886984904120768</v>
      </c>
      <c r="H1165" s="3">
        <f t="shared" ca="1" si="129"/>
        <v>1.4313341493268055</v>
      </c>
      <c r="I1165" s="3">
        <f t="shared" ca="1" si="130"/>
        <v>45.201776373711738</v>
      </c>
      <c r="J1165" s="3">
        <f t="shared" ca="1" si="131"/>
        <v>13.244326251896814</v>
      </c>
      <c r="K1165" s="3">
        <f t="shared" ca="1" si="132"/>
        <v>24.878886608517185</v>
      </c>
    </row>
    <row r="1166" spans="3:11" x14ac:dyDescent="0.35">
      <c r="C1166" t="str">
        <f t="shared" ca="1" si="126"/>
        <v>3Q2024</v>
      </c>
      <c r="D1166" vm="2318">
        <f ca="1"/>
        <v>45635</v>
      </c>
      <c r="E1166" vm="2319">
        <f ca="1"/>
        <v>138.81</v>
      </c>
      <c r="F1166" s="3">
        <f t="shared" ca="1" si="127"/>
        <v>0.78780089759281924</v>
      </c>
      <c r="G1166" s="3">
        <f t="shared" ca="1" si="128"/>
        <v>2.6886984904120768</v>
      </c>
      <c r="H1166" s="3">
        <f t="shared" ca="1" si="129"/>
        <v>1.4313341493268055</v>
      </c>
      <c r="I1166" s="3">
        <f t="shared" ca="1" si="130"/>
        <v>44.049835568905692</v>
      </c>
      <c r="J1166" s="3">
        <f t="shared" ca="1" si="131"/>
        <v>12.906802352048558</v>
      </c>
      <c r="K1166" s="3">
        <f t="shared" ca="1" si="132"/>
        <v>24.24486275012827</v>
      </c>
    </row>
    <row r="1167" spans="3:11" x14ac:dyDescent="0.35">
      <c r="C1167" t="str">
        <f t="shared" ca="1" si="126"/>
        <v>3Q2024</v>
      </c>
      <c r="D1167" vm="2320">
        <f ca="1"/>
        <v>45636</v>
      </c>
      <c r="E1167" vm="2321">
        <f ca="1"/>
        <v>135.07</v>
      </c>
      <c r="F1167" s="3">
        <f t="shared" ca="1" si="127"/>
        <v>0.78780089759281924</v>
      </c>
      <c r="G1167" s="3">
        <f t="shared" ca="1" si="128"/>
        <v>2.6886984904120768</v>
      </c>
      <c r="H1167" s="3">
        <f t="shared" ca="1" si="129"/>
        <v>1.4313341493268055</v>
      </c>
      <c r="I1167" s="3">
        <f t="shared" ca="1" si="130"/>
        <v>42.862987466984308</v>
      </c>
      <c r="J1167" s="3">
        <f t="shared" ca="1" si="131"/>
        <v>12.559050455235203</v>
      </c>
      <c r="K1167" s="3">
        <f t="shared" ca="1" si="132"/>
        <v>23.591626047545748</v>
      </c>
    </row>
    <row r="1168" spans="3:11" x14ac:dyDescent="0.35">
      <c r="C1168" t="str">
        <f t="shared" ca="1" si="126"/>
        <v>3Q2024</v>
      </c>
      <c r="D1168" vm="2322">
        <f ca="1"/>
        <v>45637</v>
      </c>
      <c r="E1168" vm="2323">
        <f ca="1"/>
        <v>139.31</v>
      </c>
      <c r="F1168" s="3">
        <f t="shared" ca="1" si="127"/>
        <v>0.78780089759281924</v>
      </c>
      <c r="G1168" s="3">
        <f t="shared" ca="1" si="128"/>
        <v>2.6886984904120768</v>
      </c>
      <c r="H1168" s="3">
        <f t="shared" ca="1" si="129"/>
        <v>1.4313341493268055</v>
      </c>
      <c r="I1168" s="3">
        <f t="shared" ca="1" si="130"/>
        <v>44.208505101248122</v>
      </c>
      <c r="J1168" s="3">
        <f t="shared" ca="1" si="131"/>
        <v>12.953293247344462</v>
      </c>
      <c r="K1168" s="3">
        <f t="shared" ca="1" si="132"/>
        <v>24.332193860099196</v>
      </c>
    </row>
    <row r="1169" spans="3:11" x14ac:dyDescent="0.35">
      <c r="C1169" t="str">
        <f t="shared" ca="1" si="126"/>
        <v>3Q2024</v>
      </c>
      <c r="D1169" vm="2324">
        <f ca="1"/>
        <v>45638</v>
      </c>
      <c r="E1169" vm="2325">
        <f ca="1"/>
        <v>137.34</v>
      </c>
      <c r="F1169" s="3">
        <f t="shared" ca="1" si="127"/>
        <v>0.78780089759281924</v>
      </c>
      <c r="G1169" s="3">
        <f t="shared" ca="1" si="128"/>
        <v>2.6886984904120768</v>
      </c>
      <c r="H1169" s="3">
        <f t="shared" ca="1" si="129"/>
        <v>1.4313341493268055</v>
      </c>
      <c r="I1169" s="3">
        <f t="shared" ca="1" si="130"/>
        <v>43.583347143818948</v>
      </c>
      <c r="J1169" s="3">
        <f t="shared" ca="1" si="131"/>
        <v>12.770119119878604</v>
      </c>
      <c r="K1169" s="3">
        <f t="shared" ca="1" si="132"/>
        <v>23.988109286813749</v>
      </c>
    </row>
    <row r="1170" spans="3:11" x14ac:dyDescent="0.35">
      <c r="C1170" t="str">
        <f t="shared" ca="1" si="126"/>
        <v>3Q2024</v>
      </c>
      <c r="D1170" vm="2326">
        <f ca="1"/>
        <v>45639</v>
      </c>
      <c r="E1170" vm="2327">
        <f ca="1"/>
        <v>134.25</v>
      </c>
      <c r="F1170" s="3">
        <f t="shared" ca="1" si="127"/>
        <v>0.78780089759281924</v>
      </c>
      <c r="G1170" s="3">
        <f t="shared" ca="1" si="128"/>
        <v>2.6886984904120768</v>
      </c>
      <c r="H1170" s="3">
        <f t="shared" ca="1" si="129"/>
        <v>1.4313341493268055</v>
      </c>
      <c r="I1170" s="3">
        <f t="shared" ca="1" si="130"/>
        <v>42.602769433942719</v>
      </c>
      <c r="J1170" s="3">
        <f t="shared" ca="1" si="131"/>
        <v>12.482805386949924</v>
      </c>
      <c r="K1170" s="3">
        <f t="shared" ca="1" si="132"/>
        <v>23.448403027193432</v>
      </c>
    </row>
    <row r="1171" spans="3:11" x14ac:dyDescent="0.35">
      <c r="C1171" t="str">
        <f t="shared" ca="1" si="126"/>
        <v>3Q2024</v>
      </c>
      <c r="D1171" vm="2328">
        <f ca="1"/>
        <v>45642</v>
      </c>
      <c r="E1171" vm="2329">
        <f ca="1"/>
        <v>132</v>
      </c>
      <c r="F1171" s="3">
        <f t="shared" ca="1" si="127"/>
        <v>0.78780089759281924</v>
      </c>
      <c r="G1171" s="3">
        <f t="shared" ca="1" si="128"/>
        <v>2.6886984904120768</v>
      </c>
      <c r="H1171" s="3">
        <f t="shared" ca="1" si="129"/>
        <v>1.4313341493268055</v>
      </c>
      <c r="I1171" s="3">
        <f t="shared" ca="1" si="130"/>
        <v>41.888756538401779</v>
      </c>
      <c r="J1171" s="3">
        <f t="shared" ca="1" si="131"/>
        <v>12.273596358118361</v>
      </c>
      <c r="K1171" s="3">
        <f t="shared" ca="1" si="132"/>
        <v>23.055413032324267</v>
      </c>
    </row>
    <row r="1172" spans="3:11" x14ac:dyDescent="0.35">
      <c r="C1172" t="str">
        <f t="shared" ca="1" si="126"/>
        <v>3Q2024</v>
      </c>
      <c r="D1172" vm="2330">
        <f ca="1"/>
        <v>45643</v>
      </c>
      <c r="E1172" vm="2331">
        <f ca="1"/>
        <v>130.38999999999999</v>
      </c>
      <c r="F1172" s="3">
        <f t="shared" ca="1" si="127"/>
        <v>0.78780089759281924</v>
      </c>
      <c r="G1172" s="3">
        <f t="shared" ca="1" si="128"/>
        <v>2.6886984904120768</v>
      </c>
      <c r="H1172" s="3">
        <f t="shared" ca="1" si="129"/>
        <v>1.4313341493268055</v>
      </c>
      <c r="I1172" s="3">
        <f t="shared" ca="1" si="130"/>
        <v>41.377840644259152</v>
      </c>
      <c r="J1172" s="3">
        <f t="shared" ca="1" si="131"/>
        <v>12.123895675265553</v>
      </c>
      <c r="K1172" s="3">
        <f t="shared" ca="1" si="132"/>
        <v>22.774206858217887</v>
      </c>
    </row>
    <row r="1173" spans="3:11" x14ac:dyDescent="0.35">
      <c r="C1173" t="str">
        <f t="shared" ca="1" si="126"/>
        <v>3Q2024</v>
      </c>
      <c r="D1173" vm="2332">
        <f ca="1"/>
        <v>45644</v>
      </c>
      <c r="E1173" vm="2333">
        <f ca="1"/>
        <v>128.91</v>
      </c>
      <c r="F1173" s="3">
        <f t="shared" ca="1" si="127"/>
        <v>0.78780089759281924</v>
      </c>
      <c r="G1173" s="3">
        <f t="shared" ca="1" si="128"/>
        <v>2.6886984904120768</v>
      </c>
      <c r="H1173" s="3">
        <f t="shared" ca="1" si="129"/>
        <v>1.4313341493268055</v>
      </c>
      <c r="I1173" s="3">
        <f t="shared" ca="1" si="130"/>
        <v>40.908178828525557</v>
      </c>
      <c r="J1173" s="3">
        <f t="shared" ca="1" si="131"/>
        <v>11.986282625189681</v>
      </c>
      <c r="K1173" s="3">
        <f t="shared" ca="1" si="132"/>
        <v>22.51570677270395</v>
      </c>
    </row>
    <row r="1174" spans="3:11" x14ac:dyDescent="0.35">
      <c r="C1174" t="str">
        <f t="shared" ca="1" si="126"/>
        <v>3Q2024</v>
      </c>
      <c r="D1174" vm="2334">
        <f ca="1"/>
        <v>45645</v>
      </c>
      <c r="E1174" vm="2335">
        <f ca="1"/>
        <v>130.68</v>
      </c>
      <c r="F1174" s="3">
        <f t="shared" ca="1" si="127"/>
        <v>0.78780089759281924</v>
      </c>
      <c r="G1174" s="3">
        <f t="shared" ca="1" si="128"/>
        <v>2.6886984904120768</v>
      </c>
      <c r="H1174" s="3">
        <f t="shared" ca="1" si="129"/>
        <v>1.4313341493268055</v>
      </c>
      <c r="I1174" s="3">
        <f t="shared" ca="1" si="130"/>
        <v>41.469868973017768</v>
      </c>
      <c r="J1174" s="3">
        <f t="shared" ca="1" si="131"/>
        <v>12.150860394537178</v>
      </c>
      <c r="K1174" s="3">
        <f t="shared" ca="1" si="132"/>
        <v>22.824858902001026</v>
      </c>
    </row>
    <row r="1175" spans="3:11" x14ac:dyDescent="0.35">
      <c r="C1175" t="str">
        <f t="shared" ca="1" si="126"/>
        <v>3Q2024</v>
      </c>
      <c r="D1175" vm="2336">
        <f ca="1"/>
        <v>45646</v>
      </c>
      <c r="E1175" vm="2337">
        <f ca="1"/>
        <v>134.69999999999999</v>
      </c>
      <c r="F1175" s="3">
        <f t="shared" ca="1" si="127"/>
        <v>0.78780089759281924</v>
      </c>
      <c r="G1175" s="3">
        <f t="shared" ca="1" si="128"/>
        <v>2.6886984904120768</v>
      </c>
      <c r="H1175" s="3">
        <f t="shared" ca="1" si="129"/>
        <v>1.4313341493268055</v>
      </c>
      <c r="I1175" s="3">
        <f t="shared" ca="1" si="130"/>
        <v>42.745572013050904</v>
      </c>
      <c r="J1175" s="3">
        <f t="shared" ca="1" si="131"/>
        <v>12.524647192716236</v>
      </c>
      <c r="K1175" s="3">
        <f t="shared" ca="1" si="132"/>
        <v>23.527001026167262</v>
      </c>
    </row>
    <row r="1176" spans="3:11" x14ac:dyDescent="0.35">
      <c r="C1176" t="str">
        <f t="shared" ca="1" si="126"/>
        <v>3Q2024</v>
      </c>
      <c r="D1176" vm="2338">
        <f ca="1"/>
        <v>45649</v>
      </c>
      <c r="E1176" vm="2339">
        <f ca="1"/>
        <v>139.66999999999999</v>
      </c>
      <c r="F1176" s="3">
        <f t="shared" ca="1" si="127"/>
        <v>0.78780089759281924</v>
      </c>
      <c r="G1176" s="3">
        <f t="shared" ca="1" si="128"/>
        <v>2.6886984904120768</v>
      </c>
      <c r="H1176" s="3">
        <f t="shared" ca="1" si="129"/>
        <v>1.4313341493268055</v>
      </c>
      <c r="I1176" s="3">
        <f t="shared" ca="1" si="130"/>
        <v>44.322747164534668</v>
      </c>
      <c r="J1176" s="3">
        <f t="shared" ca="1" si="131"/>
        <v>12.986766691957509</v>
      </c>
      <c r="K1176" s="3">
        <f t="shared" ca="1" si="132"/>
        <v>24.395072259278258</v>
      </c>
    </row>
    <row r="1177" spans="3:11" x14ac:dyDescent="0.35">
      <c r="C1177" t="str">
        <f t="shared" ca="1" si="126"/>
        <v>3Q2024</v>
      </c>
      <c r="D1177" vm="2340">
        <f ca="1"/>
        <v>45650</v>
      </c>
      <c r="E1177" vm="2341">
        <f ca="1"/>
        <v>140.22</v>
      </c>
      <c r="F1177" s="3">
        <f t="shared" ca="1" si="127"/>
        <v>0.78780089759281924</v>
      </c>
      <c r="G1177" s="3">
        <f t="shared" ca="1" si="128"/>
        <v>2.6886984904120768</v>
      </c>
      <c r="H1177" s="3">
        <f t="shared" ca="1" si="129"/>
        <v>1.4313341493268055</v>
      </c>
      <c r="I1177" s="3">
        <f t="shared" ca="1" si="130"/>
        <v>44.497283650111349</v>
      </c>
      <c r="J1177" s="3">
        <f t="shared" ca="1" si="131"/>
        <v>13.037906676783004</v>
      </c>
      <c r="K1177" s="3">
        <f t="shared" ca="1" si="132"/>
        <v>24.491136480246279</v>
      </c>
    </row>
    <row r="1178" spans="3:11" x14ac:dyDescent="0.35">
      <c r="C1178" t="str">
        <f t="shared" ca="1" si="126"/>
        <v>3Q2024</v>
      </c>
      <c r="D1178" vm="2342">
        <f ca="1"/>
        <v>45652</v>
      </c>
      <c r="E1178" vm="2343">
        <f ca="1"/>
        <v>139.93</v>
      </c>
      <c r="F1178" s="3">
        <f t="shared" ca="1" si="127"/>
        <v>0.78780089759281924</v>
      </c>
      <c r="G1178" s="3">
        <f t="shared" ca="1" si="128"/>
        <v>2.6886984904120768</v>
      </c>
      <c r="H1178" s="3">
        <f t="shared" ca="1" si="129"/>
        <v>1.4313341493268055</v>
      </c>
      <c r="I1178" s="3">
        <f t="shared" ca="1" si="130"/>
        <v>44.40525532135274</v>
      </c>
      <c r="J1178" s="3">
        <f t="shared" ca="1" si="131"/>
        <v>13.010941957511381</v>
      </c>
      <c r="K1178" s="3">
        <f t="shared" ca="1" si="132"/>
        <v>24.440484436463144</v>
      </c>
    </row>
    <row r="1179" spans="3:11" x14ac:dyDescent="0.35">
      <c r="C1179" t="str">
        <f t="shared" ca="1" si="126"/>
        <v>3Q2024</v>
      </c>
      <c r="D1179" vm="2344">
        <f ca="1"/>
        <v>45653</v>
      </c>
      <c r="E1179" vm="2345">
        <f ca="1"/>
        <v>137.01</v>
      </c>
      <c r="F1179" s="3">
        <f t="shared" ca="1" si="127"/>
        <v>0.78780089759281924</v>
      </c>
      <c r="G1179" s="3">
        <f t="shared" ca="1" si="128"/>
        <v>2.6886984904120768</v>
      </c>
      <c r="H1179" s="3">
        <f t="shared" ca="1" si="129"/>
        <v>1.4313341493268055</v>
      </c>
      <c r="I1179" s="3">
        <f t="shared" ca="1" si="130"/>
        <v>43.478625252472938</v>
      </c>
      <c r="J1179" s="3">
        <f t="shared" ca="1" si="131"/>
        <v>12.739435128983306</v>
      </c>
      <c r="K1179" s="3">
        <f t="shared" ca="1" si="132"/>
        <v>23.930470754232935</v>
      </c>
    </row>
    <row r="1180" spans="3:11" x14ac:dyDescent="0.35">
      <c r="C1180" t="str">
        <f t="shared" ca="1" si="126"/>
        <v>3Q2024</v>
      </c>
      <c r="D1180" vm="2346">
        <f ca="1"/>
        <v>45656</v>
      </c>
      <c r="E1180" vm="2347">
        <f ca="1"/>
        <v>137.49</v>
      </c>
      <c r="F1180" s="3">
        <f t="shared" ca="1" si="127"/>
        <v>0.78780089759281924</v>
      </c>
      <c r="G1180" s="3">
        <f t="shared" ca="1" si="128"/>
        <v>2.6886984904120768</v>
      </c>
      <c r="H1180" s="3">
        <f t="shared" ca="1" si="129"/>
        <v>1.4313341493268055</v>
      </c>
      <c r="I1180" s="3">
        <f t="shared" ca="1" si="130"/>
        <v>43.630948003521681</v>
      </c>
      <c r="J1180" s="3">
        <f t="shared" ca="1" si="131"/>
        <v>12.784066388467375</v>
      </c>
      <c r="K1180" s="3">
        <f t="shared" ca="1" si="132"/>
        <v>24.014308619805028</v>
      </c>
    </row>
    <row r="1181" spans="3:11" x14ac:dyDescent="0.35">
      <c r="C1181" t="str">
        <f t="shared" ca="1" si="126"/>
        <v>3Q2024</v>
      </c>
      <c r="D1181" vm="2348">
        <f ca="1"/>
        <v>45657</v>
      </c>
      <c r="E1181" vm="2349">
        <f ca="1"/>
        <v>134.29</v>
      </c>
      <c r="F1181" s="3">
        <f t="shared" ca="1" si="127"/>
        <v>0.78780089759281924</v>
      </c>
      <c r="G1181" s="3">
        <f t="shared" ca="1" si="128"/>
        <v>2.6886984904120768</v>
      </c>
      <c r="H1181" s="3">
        <f t="shared" ca="1" si="129"/>
        <v>1.4313341493268055</v>
      </c>
      <c r="I1181" s="3">
        <f t="shared" ca="1" si="130"/>
        <v>42.615462996530113</v>
      </c>
      <c r="J1181" s="3">
        <f t="shared" ca="1" si="131"/>
        <v>12.486524658573595</v>
      </c>
      <c r="K1181" s="3">
        <f t="shared" ca="1" si="132"/>
        <v>23.455389515991104</v>
      </c>
    </row>
    <row r="1182" spans="3:11" x14ac:dyDescent="0.35">
      <c r="C1182" t="str">
        <f t="shared" ca="1" si="126"/>
        <v>3Q2024</v>
      </c>
      <c r="D1182" vm="2350">
        <f ca="1"/>
        <v>45659</v>
      </c>
      <c r="E1182" vm="2351">
        <f ca="1"/>
        <v>138.31</v>
      </c>
      <c r="F1182" s="3">
        <f t="shared" ca="1" si="127"/>
        <v>0.78780089759281924</v>
      </c>
      <c r="G1182" s="3">
        <f t="shared" ca="1" si="128"/>
        <v>2.6886984904120768</v>
      </c>
      <c r="H1182" s="3">
        <f t="shared" ca="1" si="129"/>
        <v>1.4313341493268055</v>
      </c>
      <c r="I1182" s="3">
        <f t="shared" ca="1" si="130"/>
        <v>43.891166036563263</v>
      </c>
      <c r="J1182" s="3">
        <f t="shared" ca="1" si="131"/>
        <v>12.860311456752655</v>
      </c>
      <c r="K1182" s="3">
        <f t="shared" ca="1" si="132"/>
        <v>24.157531640157345</v>
      </c>
    </row>
    <row r="1183" spans="3:11" x14ac:dyDescent="0.35">
      <c r="C1183" t="str">
        <f t="shared" ca="1" si="126"/>
        <v>3Q2024</v>
      </c>
      <c r="D1183" vm="2352">
        <f ca="1"/>
        <v>45660</v>
      </c>
      <c r="E1183" vm="2353">
        <f ca="1"/>
        <v>144.47</v>
      </c>
      <c r="F1183" s="3">
        <f t="shared" ca="1" si="127"/>
        <v>0.78780089759281924</v>
      </c>
      <c r="G1183" s="3">
        <f t="shared" ca="1" si="128"/>
        <v>2.6886984904120768</v>
      </c>
      <c r="H1183" s="3">
        <f t="shared" ca="1" si="129"/>
        <v>1.4313341493268055</v>
      </c>
      <c r="I1183" s="3">
        <f t="shared" ca="1" si="130"/>
        <v>45.845974675022013</v>
      </c>
      <c r="J1183" s="3">
        <f t="shared" ca="1" si="131"/>
        <v>13.433079286798179</v>
      </c>
      <c r="K1183" s="3">
        <f t="shared" ca="1" si="132"/>
        <v>25.233450914999143</v>
      </c>
    </row>
    <row r="1184" spans="3:11" x14ac:dyDescent="0.35">
      <c r="C1184" t="str">
        <f t="shared" ca="1" si="126"/>
        <v>3Q2024</v>
      </c>
      <c r="D1184" vm="2354">
        <f ca="1"/>
        <v>45663</v>
      </c>
      <c r="E1184" vm="2355">
        <f ca="1"/>
        <v>149.43</v>
      </c>
      <c r="F1184" s="3">
        <f t="shared" ca="1" si="127"/>
        <v>0.78780089759281924</v>
      </c>
      <c r="G1184" s="3">
        <f t="shared" ca="1" si="128"/>
        <v>2.6886984904120768</v>
      </c>
      <c r="H1184" s="3">
        <f t="shared" ca="1" si="129"/>
        <v>1.4313341493268055</v>
      </c>
      <c r="I1184" s="3">
        <f t="shared" ca="1" si="130"/>
        <v>47.419976435858928</v>
      </c>
      <c r="J1184" s="3">
        <f t="shared" ca="1" si="131"/>
        <v>13.894268968133536</v>
      </c>
      <c r="K1184" s="3">
        <f t="shared" ca="1" si="132"/>
        <v>26.099775525910722</v>
      </c>
    </row>
    <row r="1185" spans="3:11" x14ac:dyDescent="0.35">
      <c r="C1185" t="str">
        <f t="shared" ca="1" si="126"/>
        <v>3Q2024</v>
      </c>
      <c r="D1185" vm="2356">
        <f ca="1"/>
        <v>45664</v>
      </c>
      <c r="E1185" vm="2357">
        <f ca="1"/>
        <v>140.13999999999999</v>
      </c>
      <c r="F1185" s="3">
        <f t="shared" ca="1" si="127"/>
        <v>0.78780089759281924</v>
      </c>
      <c r="G1185" s="3">
        <f t="shared" ca="1" si="128"/>
        <v>2.6886984904120768</v>
      </c>
      <c r="H1185" s="3">
        <f t="shared" ca="1" si="129"/>
        <v>1.4313341493268055</v>
      </c>
      <c r="I1185" s="3">
        <f t="shared" ca="1" si="130"/>
        <v>44.471896524936554</v>
      </c>
      <c r="J1185" s="3">
        <f t="shared" ca="1" si="131"/>
        <v>13.030468133535658</v>
      </c>
      <c r="K1185" s="3">
        <f t="shared" ca="1" si="132"/>
        <v>24.477163502650928</v>
      </c>
    </row>
    <row r="1186" spans="3:11" x14ac:dyDescent="0.35">
      <c r="C1186" t="str">
        <f t="shared" ca="1" si="126"/>
        <v>3Q2024</v>
      </c>
      <c r="D1186" vm="2358">
        <f ca="1"/>
        <v>45665</v>
      </c>
      <c r="E1186" vm="2359">
        <f ca="1"/>
        <v>140.11000000000001</v>
      </c>
      <c r="F1186" s="3">
        <f t="shared" ca="1" si="127"/>
        <v>0.78780089759281924</v>
      </c>
      <c r="G1186" s="3">
        <f t="shared" ca="1" si="128"/>
        <v>2.6886984904120768</v>
      </c>
      <c r="H1186" s="3">
        <f t="shared" ca="1" si="129"/>
        <v>1.4313341493268055</v>
      </c>
      <c r="I1186" s="3">
        <f t="shared" ca="1" si="130"/>
        <v>44.462376352996017</v>
      </c>
      <c r="J1186" s="3">
        <f t="shared" ca="1" si="131"/>
        <v>13.027678679817907</v>
      </c>
      <c r="K1186" s="3">
        <f t="shared" ca="1" si="132"/>
        <v>24.471923636052676</v>
      </c>
    </row>
    <row r="1187" spans="3:11" x14ac:dyDescent="0.35">
      <c r="C1187" t="str">
        <f t="shared" ca="1" si="126"/>
        <v>3Q2024</v>
      </c>
      <c r="D1187" vm="2360">
        <f ca="1"/>
        <v>45667</v>
      </c>
      <c r="E1187" vm="2361">
        <f ca="1"/>
        <v>135.91</v>
      </c>
      <c r="F1187" s="3">
        <f t="shared" ca="1" si="127"/>
        <v>0.78780089759281924</v>
      </c>
      <c r="G1187" s="3">
        <f t="shared" ca="1" si="128"/>
        <v>2.6886984904120768</v>
      </c>
      <c r="H1187" s="3">
        <f t="shared" ca="1" si="129"/>
        <v>1.4313341493268055</v>
      </c>
      <c r="I1187" s="3">
        <f t="shared" ca="1" si="130"/>
        <v>43.12955228131959</v>
      </c>
      <c r="J1187" s="3">
        <f t="shared" ca="1" si="131"/>
        <v>12.637155159332321</v>
      </c>
      <c r="K1187" s="3">
        <f t="shared" ca="1" si="132"/>
        <v>23.738342312296901</v>
      </c>
    </row>
    <row r="1188" spans="3:11" x14ac:dyDescent="0.35">
      <c r="C1188" t="str">
        <f t="shared" ca="1" si="126"/>
        <v>3Q2024</v>
      </c>
      <c r="D1188" vm="2362">
        <f ca="1"/>
        <v>45670</v>
      </c>
      <c r="E1188" vm="2363">
        <f ca="1"/>
        <v>133.22999999999999</v>
      </c>
      <c r="F1188" s="3">
        <f t="shared" ca="1" si="127"/>
        <v>0.78780089759281924</v>
      </c>
      <c r="G1188" s="3">
        <f t="shared" ca="1" si="128"/>
        <v>2.6886984904120768</v>
      </c>
      <c r="H1188" s="3">
        <f t="shared" ca="1" si="129"/>
        <v>1.4313341493268055</v>
      </c>
      <c r="I1188" s="3">
        <f t="shared" ca="1" si="130"/>
        <v>42.279083587964159</v>
      </c>
      <c r="J1188" s="3">
        <f t="shared" ca="1" si="131"/>
        <v>12.387963960546282</v>
      </c>
      <c r="K1188" s="3">
        <f t="shared" ca="1" si="132"/>
        <v>23.270247562852742</v>
      </c>
    </row>
    <row r="1189" spans="3:11" x14ac:dyDescent="0.35">
      <c r="C1189" t="str">
        <f t="shared" ca="1" si="126"/>
        <v>3Q2024</v>
      </c>
      <c r="D1189" vm="2364">
        <f ca="1"/>
        <v>45671</v>
      </c>
      <c r="E1189" vm="2365">
        <f ca="1"/>
        <v>131.76</v>
      </c>
      <c r="F1189" s="3">
        <f t="shared" ca="1" si="127"/>
        <v>0.78780089759281924</v>
      </c>
      <c r="G1189" s="3">
        <f t="shared" ca="1" si="128"/>
        <v>2.6886984904120768</v>
      </c>
      <c r="H1189" s="3">
        <f t="shared" ca="1" si="129"/>
        <v>1.4313341493268055</v>
      </c>
      <c r="I1189" s="3">
        <f t="shared" ca="1" si="130"/>
        <v>41.812595162877415</v>
      </c>
      <c r="J1189" s="3">
        <f t="shared" ca="1" si="131"/>
        <v>12.251280728376326</v>
      </c>
      <c r="K1189" s="3">
        <f t="shared" ca="1" si="132"/>
        <v>23.013494099538221</v>
      </c>
    </row>
    <row r="1190" spans="3:11" x14ac:dyDescent="0.35">
      <c r="C1190" t="str">
        <f t="shared" ca="1" si="126"/>
        <v>3Q2024</v>
      </c>
      <c r="D1190" vm="2366">
        <f ca="1"/>
        <v>45672</v>
      </c>
      <c r="E1190" vm="2367">
        <f ca="1"/>
        <v>136.24</v>
      </c>
      <c r="F1190" s="3">
        <f t="shared" ca="1" si="127"/>
        <v>0.78780089759281924</v>
      </c>
      <c r="G1190" s="3">
        <f t="shared" ca="1" si="128"/>
        <v>2.6886984904120768</v>
      </c>
      <c r="H1190" s="3">
        <f t="shared" ca="1" si="129"/>
        <v>1.4313341493268055</v>
      </c>
      <c r="I1190" s="3">
        <f t="shared" ca="1" si="130"/>
        <v>43.2342741726656</v>
      </c>
      <c r="J1190" s="3">
        <f t="shared" ca="1" si="131"/>
        <v>12.667839150227618</v>
      </c>
      <c r="K1190" s="3">
        <f t="shared" ca="1" si="132"/>
        <v>23.795980844877715</v>
      </c>
    </row>
    <row r="1191" spans="3:11" x14ac:dyDescent="0.35">
      <c r="C1191" t="str">
        <f t="shared" ca="1" si="126"/>
        <v>3Q2024</v>
      </c>
      <c r="D1191" vm="2368">
        <f ca="1"/>
        <v>45673</v>
      </c>
      <c r="E1191" vm="2369">
        <f ca="1"/>
        <v>133.57</v>
      </c>
      <c r="F1191" s="3">
        <f t="shared" ca="1" si="127"/>
        <v>0.78780089759281924</v>
      </c>
      <c r="G1191" s="3">
        <f t="shared" ca="1" si="128"/>
        <v>2.6886984904120768</v>
      </c>
      <c r="H1191" s="3">
        <f t="shared" ca="1" si="129"/>
        <v>1.4313341493268055</v>
      </c>
      <c r="I1191" s="3">
        <f t="shared" ca="1" si="130"/>
        <v>42.386978869957012</v>
      </c>
      <c r="J1191" s="3">
        <f t="shared" ca="1" si="131"/>
        <v>12.419577769347494</v>
      </c>
      <c r="K1191" s="3">
        <f t="shared" ca="1" si="132"/>
        <v>23.329632717632972</v>
      </c>
    </row>
    <row r="1192" spans="3:11" x14ac:dyDescent="0.35">
      <c r="C1192" t="str">
        <f t="shared" ca="1" si="126"/>
        <v>3Q2024</v>
      </c>
      <c r="D1192" vm="2370">
        <f ca="1"/>
        <v>45674</v>
      </c>
      <c r="E1192" vm="2371">
        <f ca="1"/>
        <v>137.71</v>
      </c>
      <c r="F1192" s="3">
        <f t="shared" ca="1" si="127"/>
        <v>0.78780089759281924</v>
      </c>
      <c r="G1192" s="3">
        <f t="shared" ca="1" si="128"/>
        <v>2.6886984904120768</v>
      </c>
      <c r="H1192" s="3">
        <f t="shared" ca="1" si="129"/>
        <v>1.4313341493268055</v>
      </c>
      <c r="I1192" s="3">
        <f t="shared" ca="1" si="130"/>
        <v>43.700762597752345</v>
      </c>
      <c r="J1192" s="3">
        <f t="shared" ca="1" si="131"/>
        <v>12.804522382397572</v>
      </c>
      <c r="K1192" s="3">
        <f t="shared" ca="1" si="132"/>
        <v>24.052734308192235</v>
      </c>
    </row>
    <row r="1193" spans="3:11" x14ac:dyDescent="0.35">
      <c r="C1193" t="str">
        <f t="shared" ca="1" si="126"/>
        <v>3Q2024</v>
      </c>
      <c r="D1193" vm="2372">
        <f ca="1"/>
        <v>45678</v>
      </c>
      <c r="E1193" vm="2373">
        <f ca="1"/>
        <v>140.83000000000001</v>
      </c>
      <c r="F1193" s="3">
        <f t="shared" ca="1" si="127"/>
        <v>0.78780089759281924</v>
      </c>
      <c r="G1193" s="3">
        <f t="shared" ca="1" si="128"/>
        <v>2.6886984904120768</v>
      </c>
      <c r="H1193" s="3">
        <f t="shared" ca="1" si="129"/>
        <v>1.4313341493268055</v>
      </c>
      <c r="I1193" s="3">
        <f t="shared" ca="1" si="130"/>
        <v>44.690860479569118</v>
      </c>
      <c r="J1193" s="3">
        <f t="shared" ca="1" si="131"/>
        <v>13.094625569044007</v>
      </c>
      <c r="K1193" s="3">
        <f t="shared" ca="1" si="132"/>
        <v>24.597680434410808</v>
      </c>
    </row>
    <row r="1194" spans="3:11" x14ac:dyDescent="0.35">
      <c r="C1194" t="str">
        <f t="shared" ca="1" si="126"/>
        <v>3Q2024</v>
      </c>
      <c r="D1194" vm="2374">
        <f ca="1"/>
        <v>45679</v>
      </c>
      <c r="E1194" vm="2375">
        <f ca="1"/>
        <v>147.07</v>
      </c>
      <c r="F1194" s="3">
        <f t="shared" ca="1" si="127"/>
        <v>0.78780089759281924</v>
      </c>
      <c r="G1194" s="3">
        <f t="shared" ca="1" si="128"/>
        <v>2.6886984904120768</v>
      </c>
      <c r="H1194" s="3">
        <f t="shared" ca="1" si="129"/>
        <v>1.4313341493268055</v>
      </c>
      <c r="I1194" s="3">
        <f t="shared" ca="1" si="130"/>
        <v>46.671056243202649</v>
      </c>
      <c r="J1194" s="3">
        <f t="shared" ca="1" si="131"/>
        <v>13.674831942336873</v>
      </c>
      <c r="K1194" s="3">
        <f t="shared" ca="1" si="132"/>
        <v>25.687572686847954</v>
      </c>
    </row>
    <row r="1195" spans="3:11" x14ac:dyDescent="0.35">
      <c r="C1195" t="str">
        <f t="shared" ca="1" si="126"/>
        <v>3Q2024</v>
      </c>
      <c r="D1195" vm="2376">
        <f ca="1"/>
        <v>45680</v>
      </c>
      <c r="E1195" vm="2377">
        <f ca="1"/>
        <v>147.22</v>
      </c>
      <c r="F1195" s="3">
        <f t="shared" ca="1" si="127"/>
        <v>0.78780089759281924</v>
      </c>
      <c r="G1195" s="3">
        <f t="shared" ca="1" si="128"/>
        <v>2.6886984904120768</v>
      </c>
      <c r="H1195" s="3">
        <f t="shared" ca="1" si="129"/>
        <v>1.4313341493268055</v>
      </c>
      <c r="I1195" s="3">
        <f t="shared" ca="1" si="130"/>
        <v>46.718657102905382</v>
      </c>
      <c r="J1195" s="3">
        <f t="shared" ca="1" si="131"/>
        <v>13.688779210925645</v>
      </c>
      <c r="K1195" s="3">
        <f t="shared" ca="1" si="132"/>
        <v>25.713772019839233</v>
      </c>
    </row>
    <row r="1196" spans="3:11" x14ac:dyDescent="0.35">
      <c r="C1196" t="str">
        <f t="shared" ca="1" si="126"/>
        <v>3Q2024</v>
      </c>
      <c r="D1196" vm="2378">
        <f ca="1"/>
        <v>45681</v>
      </c>
      <c r="E1196" vm="2379">
        <f ca="1"/>
        <v>142.62</v>
      </c>
      <c r="F1196" s="3">
        <f t="shared" ca="1" si="127"/>
        <v>0.78780089759281924</v>
      </c>
      <c r="G1196" s="3">
        <f t="shared" ca="1" si="128"/>
        <v>2.6886984904120768</v>
      </c>
      <c r="H1196" s="3">
        <f t="shared" ca="1" si="129"/>
        <v>1.4313341493268055</v>
      </c>
      <c r="I1196" s="3">
        <f t="shared" ca="1" si="130"/>
        <v>45.258897405355022</v>
      </c>
      <c r="J1196" s="3">
        <f t="shared" ca="1" si="131"/>
        <v>13.261062974203339</v>
      </c>
      <c r="K1196" s="3">
        <f t="shared" ca="1" si="132"/>
        <v>24.91032580810672</v>
      </c>
    </row>
    <row r="1197" spans="3:11" x14ac:dyDescent="0.35">
      <c r="C1197" t="str">
        <f t="shared" ca="1" si="126"/>
        <v>4Q2024</v>
      </c>
      <c r="D1197" vm="2380">
        <f ca="1"/>
        <v>45684</v>
      </c>
      <c r="E1197" vm="2381">
        <f ca="1"/>
        <v>118.42</v>
      </c>
      <c r="F1197" s="3">
        <f t="shared" ca="1" si="127"/>
        <v>0.90241013071895426</v>
      </c>
      <c r="G1197" s="3">
        <f t="shared" ca="1" si="128"/>
        <v>3.2406045751633985</v>
      </c>
      <c r="H1197" s="3">
        <f t="shared" ca="1" si="129"/>
        <v>1.6066584967320261</v>
      </c>
      <c r="I1197" s="3">
        <f t="shared" ca="1" si="130"/>
        <v>32.806590919378934</v>
      </c>
      <c r="J1197" s="3">
        <f t="shared" ca="1" si="131"/>
        <v>9.135640993319047</v>
      </c>
      <c r="K1197" s="3">
        <f t="shared" ca="1" si="132"/>
        <v>18.426442246573949</v>
      </c>
    </row>
    <row r="1198" spans="3:11" x14ac:dyDescent="0.35">
      <c r="C1198" t="str">
        <f t="shared" ca="1" si="126"/>
        <v>4Q2024</v>
      </c>
      <c r="D1198" vm="2382">
        <f ca="1"/>
        <v>45685</v>
      </c>
      <c r="E1198" vm="2383">
        <f ca="1"/>
        <v>128.99</v>
      </c>
      <c r="F1198" s="3">
        <f t="shared" ca="1" si="127"/>
        <v>0.90241013071895426</v>
      </c>
      <c r="G1198" s="3">
        <f t="shared" ca="1" si="128"/>
        <v>3.2406045751633985</v>
      </c>
      <c r="H1198" s="3">
        <f t="shared" ca="1" si="129"/>
        <v>1.6066584967320261</v>
      </c>
      <c r="I1198" s="3">
        <f t="shared" ca="1" si="130"/>
        <v>35.734860350368933</v>
      </c>
      <c r="J1198" s="3">
        <f t="shared" ca="1" si="131"/>
        <v>9.9510752552628272</v>
      </c>
      <c r="K1198" s="3">
        <f t="shared" ca="1" si="132"/>
        <v>20.071160153568435</v>
      </c>
    </row>
    <row r="1199" spans="3:11" x14ac:dyDescent="0.35">
      <c r="C1199" t="str">
        <f t="shared" ca="1" si="126"/>
        <v>4Q2024</v>
      </c>
      <c r="D1199" vm="2384">
        <f ca="1"/>
        <v>45686</v>
      </c>
      <c r="E1199" vm="2385">
        <f ca="1"/>
        <v>123.7</v>
      </c>
      <c r="F1199" s="3">
        <f t="shared" ca="1" si="127"/>
        <v>0.90241013071895426</v>
      </c>
      <c r="G1199" s="3">
        <f t="shared" ca="1" si="128"/>
        <v>3.2406045751633985</v>
      </c>
      <c r="H1199" s="3">
        <f t="shared" ca="1" si="129"/>
        <v>1.6066584967320261</v>
      </c>
      <c r="I1199" s="3">
        <f t="shared" ca="1" si="130"/>
        <v>34.26934045538907</v>
      </c>
      <c r="J1199" s="3">
        <f t="shared" ca="1" si="131"/>
        <v>9.5429723937980597</v>
      </c>
      <c r="K1199" s="3">
        <f t="shared" ca="1" si="132"/>
        <v>19.248023187816226</v>
      </c>
    </row>
    <row r="1200" spans="3:11" x14ac:dyDescent="0.35">
      <c r="C1200" t="str">
        <f t="shared" ca="1" si="126"/>
        <v>4Q2024</v>
      </c>
      <c r="D1200" vm="2386">
        <f ca="1"/>
        <v>45687</v>
      </c>
      <c r="E1200" vm="2387">
        <f ca="1"/>
        <v>124.65</v>
      </c>
      <c r="F1200" s="3">
        <f t="shared" ca="1" si="127"/>
        <v>0.90241013071895426</v>
      </c>
      <c r="G1200" s="3">
        <f t="shared" ca="1" si="128"/>
        <v>3.2406045751633985</v>
      </c>
      <c r="H1200" s="3">
        <f t="shared" ca="1" si="129"/>
        <v>1.6066584967320261</v>
      </c>
      <c r="I1200" s="3">
        <f t="shared" ca="1" si="130"/>
        <v>34.532524557512112</v>
      </c>
      <c r="J1200" s="3">
        <f t="shared" ca="1" si="131"/>
        <v>9.6162611874448523</v>
      </c>
      <c r="K1200" s="3">
        <f t="shared" ca="1" si="132"/>
        <v>19.395845516259442</v>
      </c>
    </row>
    <row r="1201" spans="3:11" x14ac:dyDescent="0.35">
      <c r="C1201" t="str">
        <f t="shared" ca="1" si="126"/>
        <v>4Q2024</v>
      </c>
      <c r="D1201" vm="2388">
        <f ca="1"/>
        <v>45688</v>
      </c>
      <c r="E1201" vm="2389">
        <f ca="1"/>
        <v>120.07</v>
      </c>
      <c r="F1201" s="3">
        <f t="shared" ca="1" si="127"/>
        <v>0.90241013071895426</v>
      </c>
      <c r="G1201" s="3">
        <f t="shared" ca="1" si="128"/>
        <v>3.2406045751633985</v>
      </c>
      <c r="H1201" s="3">
        <f t="shared" ca="1" si="129"/>
        <v>1.6066584967320261</v>
      </c>
      <c r="I1201" s="3">
        <f t="shared" ca="1" si="130"/>
        <v>33.263700149382096</v>
      </c>
      <c r="J1201" s="3">
        <f t="shared" ca="1" si="131"/>
        <v>9.2629320559687383</v>
      </c>
      <c r="K1201" s="3">
        <f t="shared" ca="1" si="132"/>
        <v>18.683186290712161</v>
      </c>
    </row>
    <row r="1202" spans="3:11" x14ac:dyDescent="0.35">
      <c r="C1202" t="str">
        <f t="shared" ca="1" si="126"/>
        <v>4Q2024</v>
      </c>
      <c r="D1202" vm="2390">
        <f ca="1"/>
        <v>45691</v>
      </c>
      <c r="E1202" vm="2391">
        <f ca="1"/>
        <v>116.66</v>
      </c>
      <c r="F1202" s="3">
        <f t="shared" ca="1" si="127"/>
        <v>0.90241013071895426</v>
      </c>
      <c r="G1202" s="3">
        <f t="shared" ca="1" si="128"/>
        <v>3.2406045751633985</v>
      </c>
      <c r="H1202" s="3">
        <f t="shared" ca="1" si="129"/>
        <v>1.6066584967320261</v>
      </c>
      <c r="I1202" s="3">
        <f t="shared" ca="1" si="130"/>
        <v>32.319007740708884</v>
      </c>
      <c r="J1202" s="3">
        <f t="shared" ca="1" si="131"/>
        <v>8.9998638598260428</v>
      </c>
      <c r="K1202" s="3">
        <f t="shared" ca="1" si="132"/>
        <v>18.152581932826525</v>
      </c>
    </row>
    <row r="1203" spans="3:11" x14ac:dyDescent="0.35">
      <c r="C1203" t="str">
        <f t="shared" ca="1" si="126"/>
        <v>4Q2024</v>
      </c>
      <c r="D1203" vm="2392">
        <f ca="1"/>
        <v>45692</v>
      </c>
      <c r="E1203" vm="2393">
        <f ca="1"/>
        <v>118.65</v>
      </c>
      <c r="F1203" s="3">
        <f t="shared" ca="1" si="127"/>
        <v>0.90241013071895426</v>
      </c>
      <c r="G1203" s="3">
        <f t="shared" ca="1" si="128"/>
        <v>3.2406045751633985</v>
      </c>
      <c r="H1203" s="3">
        <f t="shared" ca="1" si="129"/>
        <v>1.6066584967320261</v>
      </c>
      <c r="I1203" s="3">
        <f t="shared" ca="1" si="130"/>
        <v>32.870309175682408</v>
      </c>
      <c r="J1203" s="3">
        <f t="shared" ca="1" si="131"/>
        <v>9.1533845959914295</v>
      </c>
      <c r="K1203" s="3">
        <f t="shared" ca="1" si="132"/>
        <v>18.462230810302309</v>
      </c>
    </row>
    <row r="1204" spans="3:11" x14ac:dyDescent="0.35">
      <c r="C1204" t="str">
        <f t="shared" ca="1" si="126"/>
        <v>4Q2024</v>
      </c>
      <c r="D1204" vm="2394">
        <f ca="1"/>
        <v>45693</v>
      </c>
      <c r="E1204" vm="2395">
        <f ca="1"/>
        <v>124.83</v>
      </c>
      <c r="F1204" s="3">
        <f t="shared" ca="1" si="127"/>
        <v>0.90241013071895426</v>
      </c>
      <c r="G1204" s="3">
        <f t="shared" ca="1" si="128"/>
        <v>3.2406045751633985</v>
      </c>
      <c r="H1204" s="3">
        <f t="shared" ca="1" si="129"/>
        <v>1.6066584967320261</v>
      </c>
      <c r="I1204" s="3">
        <f t="shared" ca="1" si="130"/>
        <v>34.582391018967002</v>
      </c>
      <c r="J1204" s="3">
        <f t="shared" ca="1" si="131"/>
        <v>9.6301474851884539</v>
      </c>
      <c r="K1204" s="3">
        <f t="shared" ca="1" si="132"/>
        <v>19.423853957438155</v>
      </c>
    </row>
    <row r="1205" spans="3:11" x14ac:dyDescent="0.35">
      <c r="C1205" t="str">
        <f t="shared" ca="1" si="126"/>
        <v>4Q2024</v>
      </c>
      <c r="D1205" vm="2396">
        <f ca="1"/>
        <v>45694</v>
      </c>
      <c r="E1205" vm="2397">
        <f ca="1"/>
        <v>128.68</v>
      </c>
      <c r="F1205" s="3">
        <f t="shared" ca="1" si="127"/>
        <v>0.90241013071895426</v>
      </c>
      <c r="G1205" s="3">
        <f t="shared" ca="1" si="128"/>
        <v>3.2406045751633985</v>
      </c>
      <c r="H1205" s="3">
        <f t="shared" ca="1" si="129"/>
        <v>1.6066584967320261</v>
      </c>
      <c r="I1205" s="3">
        <f t="shared" ca="1" si="130"/>
        <v>35.64897922230773</v>
      </c>
      <c r="J1205" s="3">
        <f t="shared" ca="1" si="131"/>
        <v>9.9271599647044013</v>
      </c>
      <c r="K1205" s="3">
        <f t="shared" ca="1" si="132"/>
        <v>20.022923393760649</v>
      </c>
    </row>
    <row r="1206" spans="3:11" x14ac:dyDescent="0.35">
      <c r="C1206" t="str">
        <f t="shared" ca="1" si="126"/>
        <v>4Q2024</v>
      </c>
      <c r="D1206" vm="2398">
        <f ca="1"/>
        <v>45695</v>
      </c>
      <c r="E1206" vm="2399">
        <f ca="1"/>
        <v>129.84</v>
      </c>
      <c r="F1206" s="3">
        <f t="shared" ca="1" si="127"/>
        <v>0.90241013071895426</v>
      </c>
      <c r="G1206" s="3">
        <f t="shared" ca="1" si="128"/>
        <v>3.2406045751633985</v>
      </c>
      <c r="H1206" s="3">
        <f t="shared" ca="1" si="129"/>
        <v>1.6066584967320261</v>
      </c>
      <c r="I1206" s="3">
        <f t="shared" ca="1" si="130"/>
        <v>35.970340862794806</v>
      </c>
      <c r="J1206" s="3">
        <f t="shared" ca="1" si="131"/>
        <v>10.016649439052062</v>
      </c>
      <c r="K1206" s="3">
        <f t="shared" ca="1" si="132"/>
        <v>20.20342223691236</v>
      </c>
    </row>
    <row r="1207" spans="3:11" x14ac:dyDescent="0.35">
      <c r="C1207" t="str">
        <f t="shared" ca="1" si="126"/>
        <v>4Q2024</v>
      </c>
      <c r="D1207" vm="2400">
        <f ca="1"/>
        <v>45698</v>
      </c>
      <c r="E1207" vm="2369">
        <f ca="1"/>
        <v>133.57</v>
      </c>
      <c r="F1207" s="3">
        <f t="shared" ca="1" si="127"/>
        <v>0.90241013071895426</v>
      </c>
      <c r="G1207" s="3">
        <f t="shared" ca="1" si="128"/>
        <v>3.2406045751633985</v>
      </c>
      <c r="H1207" s="3">
        <f t="shared" ca="1" si="129"/>
        <v>1.6066584967320261</v>
      </c>
      <c r="I1207" s="3">
        <f t="shared" ca="1" si="130"/>
        <v>37.003684758498935</v>
      </c>
      <c r="J1207" s="3">
        <f t="shared" ca="1" si="131"/>
        <v>10.304404386738939</v>
      </c>
      <c r="K1207" s="3">
        <f t="shared" ca="1" si="132"/>
        <v>20.783819379115709</v>
      </c>
    </row>
    <row r="1208" spans="3:11" x14ac:dyDescent="0.35">
      <c r="C1208" t="str">
        <f t="shared" ca="1" si="126"/>
        <v>4Q2024</v>
      </c>
      <c r="D1208" vm="2401">
        <f ca="1"/>
        <v>45699</v>
      </c>
      <c r="E1208" vm="2402">
        <f ca="1"/>
        <v>132.80000000000001</v>
      </c>
      <c r="F1208" s="3">
        <f t="shared" ca="1" si="127"/>
        <v>0.90241013071895426</v>
      </c>
      <c r="G1208" s="3">
        <f t="shared" ca="1" si="128"/>
        <v>3.2406045751633985</v>
      </c>
      <c r="H1208" s="3">
        <f t="shared" ca="1" si="129"/>
        <v>1.6066584967320261</v>
      </c>
      <c r="I1208" s="3">
        <f t="shared" ca="1" si="130"/>
        <v>36.79036711783079</v>
      </c>
      <c r="J1208" s="3">
        <f t="shared" ca="1" si="131"/>
        <v>10.24500189083575</v>
      </c>
      <c r="K1208" s="3">
        <f t="shared" ca="1" si="132"/>
        <v>20.664005491851213</v>
      </c>
    </row>
    <row r="1209" spans="3:11" x14ac:dyDescent="0.35">
      <c r="C1209" t="str">
        <f t="shared" ca="1" si="126"/>
        <v>4Q2024</v>
      </c>
      <c r="D1209" vm="2403">
        <f ca="1"/>
        <v>45700</v>
      </c>
      <c r="E1209" vm="2404">
        <f ca="1"/>
        <v>131.13999999999999</v>
      </c>
      <c r="F1209" s="3">
        <f t="shared" ca="1" si="127"/>
        <v>0.90241013071895426</v>
      </c>
      <c r="G1209" s="3">
        <f t="shared" ca="1" si="128"/>
        <v>3.2406045751633985</v>
      </c>
      <c r="H1209" s="3">
        <f t="shared" ca="1" si="129"/>
        <v>1.6066584967320261</v>
      </c>
      <c r="I1209" s="3">
        <f t="shared" ca="1" si="130"/>
        <v>36.330487528857901</v>
      </c>
      <c r="J1209" s="3">
        <f t="shared" ca="1" si="131"/>
        <v>10.116939367200303</v>
      </c>
      <c r="K1209" s="3">
        <f t="shared" ca="1" si="132"/>
        <v>20.40570542320307</v>
      </c>
    </row>
    <row r="1210" spans="3:11" x14ac:dyDescent="0.35">
      <c r="C1210" t="str">
        <f t="shared" ca="1" si="126"/>
        <v>4Q2024</v>
      </c>
      <c r="D1210" vm="2405">
        <f ca="1"/>
        <v>45701</v>
      </c>
      <c r="E1210" vm="2406">
        <f ca="1"/>
        <v>135.29</v>
      </c>
      <c r="F1210" s="3">
        <f t="shared" ca="1" si="127"/>
        <v>0.90241013071895426</v>
      </c>
      <c r="G1210" s="3">
        <f t="shared" ca="1" si="128"/>
        <v>3.2406045751633985</v>
      </c>
      <c r="H1210" s="3">
        <f t="shared" ca="1" si="129"/>
        <v>1.6066584967320261</v>
      </c>
      <c r="I1210" s="3">
        <f t="shared" ca="1" si="130"/>
        <v>37.480186501290113</v>
      </c>
      <c r="J1210" s="3">
        <f t="shared" ca="1" si="131"/>
        <v>10.437095676288919</v>
      </c>
      <c r="K1210" s="3">
        <f t="shared" ca="1" si="132"/>
        <v>21.05145559482342</v>
      </c>
    </row>
    <row r="1211" spans="3:11" x14ac:dyDescent="0.35">
      <c r="C1211" t="str">
        <f t="shared" ca="1" si="126"/>
        <v>4Q2024</v>
      </c>
      <c r="D1211" vm="2407">
        <f ca="1"/>
        <v>45702</v>
      </c>
      <c r="E1211" vm="2408">
        <f ca="1"/>
        <v>138.85</v>
      </c>
      <c r="F1211" s="3">
        <f t="shared" ca="1" si="127"/>
        <v>0.90241013071895426</v>
      </c>
      <c r="G1211" s="3">
        <f t="shared" ca="1" si="128"/>
        <v>3.2406045751633985</v>
      </c>
      <c r="H1211" s="3">
        <f t="shared" ca="1" si="129"/>
        <v>1.6066584967320261</v>
      </c>
      <c r="I1211" s="3">
        <f t="shared" ca="1" si="130"/>
        <v>38.466434294509071</v>
      </c>
      <c r="J1211" s="3">
        <f t="shared" ca="1" si="131"/>
        <v>10.71173578721795</v>
      </c>
      <c r="K1211" s="3">
        <f t="shared" ca="1" si="132"/>
        <v>21.605400320357987</v>
      </c>
    </row>
    <row r="1212" spans="3:11" x14ac:dyDescent="0.35">
      <c r="C1212" t="str">
        <f t="shared" ca="1" si="126"/>
        <v>4Q2024</v>
      </c>
      <c r="D1212" vm="2409">
        <f ca="1"/>
        <v>45706</v>
      </c>
      <c r="E1212" vm="2410">
        <f ca="1"/>
        <v>139.4</v>
      </c>
      <c r="F1212" s="3">
        <f t="shared" ca="1" si="127"/>
        <v>0.90241013071895426</v>
      </c>
      <c r="G1212" s="3">
        <f t="shared" ca="1" si="128"/>
        <v>3.2406045751633985</v>
      </c>
      <c r="H1212" s="3">
        <f t="shared" ca="1" si="129"/>
        <v>1.6066584967320261</v>
      </c>
      <c r="I1212" s="3">
        <f t="shared" ca="1" si="130"/>
        <v>38.618804037843468</v>
      </c>
      <c r="J1212" s="3">
        <f t="shared" ca="1" si="131"/>
        <v>10.754166141434515</v>
      </c>
      <c r="K1212" s="3">
        <f t="shared" ca="1" si="132"/>
        <v>21.69098166840406</v>
      </c>
    </row>
    <row r="1213" spans="3:11" x14ac:dyDescent="0.35">
      <c r="C1213" t="str">
        <f t="shared" ca="1" si="126"/>
        <v>4Q2024</v>
      </c>
      <c r="D1213" vm="2411">
        <f ca="1"/>
        <v>45707</v>
      </c>
      <c r="E1213" vm="2412">
        <f ca="1"/>
        <v>139.22999999999999</v>
      </c>
      <c r="F1213" s="3">
        <f t="shared" ca="1" si="127"/>
        <v>0.90241013071895426</v>
      </c>
      <c r="G1213" s="3">
        <f t="shared" ca="1" si="128"/>
        <v>3.2406045751633985</v>
      </c>
      <c r="H1213" s="3">
        <f t="shared" ca="1" si="129"/>
        <v>1.6066584967320261</v>
      </c>
      <c r="I1213" s="3">
        <f t="shared" ca="1" si="130"/>
        <v>38.57170793535829</v>
      </c>
      <c r="J1213" s="3">
        <f t="shared" ca="1" si="131"/>
        <v>10.741051304676667</v>
      </c>
      <c r="K1213" s="3">
        <f t="shared" ca="1" si="132"/>
        <v>21.664529251735271</v>
      </c>
    </row>
    <row r="1214" spans="3:11" x14ac:dyDescent="0.35">
      <c r="C1214" t="str">
        <f t="shared" ca="1" si="126"/>
        <v>4Q2024</v>
      </c>
      <c r="D1214" vm="2413">
        <f ca="1"/>
        <v>45708</v>
      </c>
      <c r="E1214" vm="2359">
        <f ca="1"/>
        <v>140.11000000000001</v>
      </c>
      <c r="F1214" s="3">
        <f t="shared" ca="1" si="127"/>
        <v>0.90241013071895426</v>
      </c>
      <c r="G1214" s="3">
        <f t="shared" ca="1" si="128"/>
        <v>3.2406045751633985</v>
      </c>
      <c r="H1214" s="3">
        <f t="shared" ca="1" si="129"/>
        <v>1.6066584967320261</v>
      </c>
      <c r="I1214" s="3">
        <f t="shared" ca="1" si="130"/>
        <v>38.815499524693315</v>
      </c>
      <c r="J1214" s="3">
        <f t="shared" ca="1" si="131"/>
        <v>10.808939871423171</v>
      </c>
      <c r="K1214" s="3">
        <f t="shared" ca="1" si="132"/>
        <v>21.801459408608988</v>
      </c>
    </row>
    <row r="1215" spans="3:11" x14ac:dyDescent="0.35">
      <c r="C1215" t="str">
        <f t="shared" ca="1" si="126"/>
        <v>4Q2024</v>
      </c>
      <c r="D1215" vm="2414">
        <f ca="1"/>
        <v>45709</v>
      </c>
      <c r="E1215" vm="2415">
        <f ca="1"/>
        <v>134.43</v>
      </c>
      <c r="F1215" s="3">
        <f t="shared" ca="1" si="127"/>
        <v>0.90241013071895426</v>
      </c>
      <c r="G1215" s="3">
        <f t="shared" ca="1" si="128"/>
        <v>3.2406045751633985</v>
      </c>
      <c r="H1215" s="3">
        <f t="shared" ca="1" si="129"/>
        <v>1.6066584967320261</v>
      </c>
      <c r="I1215" s="3">
        <f t="shared" ca="1" si="130"/>
        <v>37.241935629894527</v>
      </c>
      <c r="J1215" s="3">
        <f t="shared" ca="1" si="131"/>
        <v>10.37075003151393</v>
      </c>
      <c r="K1215" s="3">
        <f t="shared" ca="1" si="132"/>
        <v>20.917637486969568</v>
      </c>
    </row>
    <row r="1216" spans="3:11" x14ac:dyDescent="0.35">
      <c r="C1216" t="str">
        <f t="shared" ca="1" si="126"/>
        <v>4Q2024</v>
      </c>
      <c r="D1216" vm="2416">
        <f ca="1"/>
        <v>45712</v>
      </c>
      <c r="E1216" vm="2417">
        <f ca="1"/>
        <v>130.28</v>
      </c>
      <c r="F1216" s="3">
        <f t="shared" ca="1" si="127"/>
        <v>0.90241013071895426</v>
      </c>
      <c r="G1216" s="3">
        <f t="shared" ca="1" si="128"/>
        <v>3.2406045751633985</v>
      </c>
      <c r="H1216" s="3">
        <f t="shared" ca="1" si="129"/>
        <v>1.6066584967320261</v>
      </c>
      <c r="I1216" s="3">
        <f t="shared" ca="1" si="130"/>
        <v>36.092236657462315</v>
      </c>
      <c r="J1216" s="3">
        <f t="shared" ca="1" si="131"/>
        <v>10.050593722425313</v>
      </c>
      <c r="K1216" s="3">
        <f t="shared" ca="1" si="132"/>
        <v>20.271887315349215</v>
      </c>
    </row>
    <row r="1217" spans="3:11" x14ac:dyDescent="0.35">
      <c r="C1217" t="str">
        <f t="shared" ca="1" si="126"/>
        <v>4Q2024</v>
      </c>
      <c r="D1217" vm="2418">
        <f ca="1"/>
        <v>45713</v>
      </c>
      <c r="E1217" vm="2419">
        <f ca="1"/>
        <v>126.63</v>
      </c>
      <c r="F1217" s="3">
        <f t="shared" ca="1" si="127"/>
        <v>0.90241013071895426</v>
      </c>
      <c r="G1217" s="3">
        <f t="shared" ca="1" si="128"/>
        <v>3.2406045751633985</v>
      </c>
      <c r="H1217" s="3">
        <f t="shared" ca="1" si="129"/>
        <v>1.6066584967320261</v>
      </c>
      <c r="I1217" s="3">
        <f t="shared" ca="1" si="130"/>
        <v>35.081055633515909</v>
      </c>
      <c r="J1217" s="3">
        <f t="shared" ca="1" si="131"/>
        <v>9.7690104626244807</v>
      </c>
      <c r="K1217" s="3">
        <f t="shared" ca="1" si="132"/>
        <v>19.703938369225291</v>
      </c>
    </row>
    <row r="1218" spans="3:11" x14ac:dyDescent="0.35">
      <c r="C1218" t="str">
        <f t="shared" ca="1" si="126"/>
        <v>4Q2024</v>
      </c>
      <c r="D1218" vm="2420">
        <f ca="1"/>
        <v>45714</v>
      </c>
      <c r="E1218" vm="2421">
        <f ca="1"/>
        <v>131.28</v>
      </c>
      <c r="F1218" s="3">
        <f t="shared" ca="1" si="127"/>
        <v>0.90241013071895426</v>
      </c>
      <c r="G1218" s="3">
        <f t="shared" ca="1" si="128"/>
        <v>3.2406045751633985</v>
      </c>
      <c r="H1218" s="3">
        <f t="shared" ca="1" si="129"/>
        <v>1.6066584967320261</v>
      </c>
      <c r="I1218" s="3">
        <f t="shared" ca="1" si="130"/>
        <v>36.369272554433934</v>
      </c>
      <c r="J1218" s="3">
        <f t="shared" ca="1" si="131"/>
        <v>10.127739821000883</v>
      </c>
      <c r="K1218" s="3">
        <f t="shared" ca="1" si="132"/>
        <v>20.42748976634207</v>
      </c>
    </row>
    <row r="1219" spans="3:11" x14ac:dyDescent="0.35">
      <c r="C1219" t="str">
        <f t="shared" ref="C1219:C1282" ca="1" si="133">LOOKUP(D1219,$N$2:$N$27,$M$2:$M$27)</f>
        <v>4Q2024</v>
      </c>
      <c r="D1219" vm="2422">
        <f ca="1"/>
        <v>45715</v>
      </c>
      <c r="E1219" vm="2423">
        <f ca="1"/>
        <v>120.15</v>
      </c>
      <c r="F1219" s="3">
        <f t="shared" ca="1" si="127"/>
        <v>0.90241013071895426</v>
      </c>
      <c r="G1219" s="3">
        <f t="shared" ca="1" si="128"/>
        <v>3.2406045751633985</v>
      </c>
      <c r="H1219" s="3">
        <f t="shared" ca="1" si="129"/>
        <v>1.6066584967320261</v>
      </c>
      <c r="I1219" s="3">
        <f t="shared" ca="1" si="130"/>
        <v>33.285863021139832</v>
      </c>
      <c r="J1219" s="3">
        <f t="shared" ca="1" si="131"/>
        <v>9.2691037438547852</v>
      </c>
      <c r="K1219" s="3">
        <f t="shared" ca="1" si="132"/>
        <v>18.69563448679159</v>
      </c>
    </row>
    <row r="1220" spans="3:11" x14ac:dyDescent="0.35">
      <c r="C1220" t="str">
        <f t="shared" ca="1" si="133"/>
        <v>4Q2024</v>
      </c>
      <c r="D1220" vm="2424">
        <f ca="1"/>
        <v>45716</v>
      </c>
      <c r="E1220" vm="2229">
        <f ca="1"/>
        <v>124.92</v>
      </c>
      <c r="F1220" s="3">
        <f t="shared" ref="F1220:F1283" ca="1" si="134">VLOOKUP($C1220,$M$2:$R$27,4,0)/VLOOKUP($C1220,$M$2:$R$27,3,0)</f>
        <v>0.90241013071895426</v>
      </c>
      <c r="G1220" s="3">
        <f t="shared" ref="G1220:G1283" ca="1" si="135">VLOOKUP($C1220,$M$2:$R$27,6,0)/VLOOKUP($C1220,$M$2:$R$27,3,0)</f>
        <v>3.2406045751633985</v>
      </c>
      <c r="H1220" s="3">
        <f t="shared" ref="H1220:H1283" ca="1" si="136">VLOOKUP($C1220,$M$2:$R$27,5,0)/VLOOKUP($C1220,$M$2:$R$27,3,0)</f>
        <v>1.6066584967320261</v>
      </c>
      <c r="I1220" s="3">
        <f t="shared" ref="I1220:I1283" ca="1" si="137">$E1220/(F1220*4)</f>
        <v>34.607324249694443</v>
      </c>
      <c r="J1220" s="3">
        <f t="shared" ref="J1220:J1283" ca="1" si="138">$E1220/(G1220*4)</f>
        <v>9.6370906340602556</v>
      </c>
      <c r="K1220" s="3">
        <f t="shared" ref="K1220:K1283" ca="1" si="139">$E1220/(H1220*4)</f>
        <v>19.437858178027511</v>
      </c>
    </row>
    <row r="1221" spans="3:11" x14ac:dyDescent="0.35">
      <c r="C1221" t="str">
        <f t="shared" ca="1" si="133"/>
        <v>4Q2024</v>
      </c>
      <c r="D1221" vm="2425">
        <f ca="1"/>
        <v>45719</v>
      </c>
      <c r="E1221" vm="2426">
        <f ca="1"/>
        <v>114.06</v>
      </c>
      <c r="F1221" s="3">
        <f t="shared" ca="1" si="134"/>
        <v>0.90241013071895426</v>
      </c>
      <c r="G1221" s="3">
        <f t="shared" ca="1" si="135"/>
        <v>3.2406045751633985</v>
      </c>
      <c r="H1221" s="3">
        <f t="shared" ca="1" si="136"/>
        <v>1.6066584967320261</v>
      </c>
      <c r="I1221" s="3">
        <f t="shared" ca="1" si="137"/>
        <v>31.59871440858268</v>
      </c>
      <c r="J1221" s="3">
        <f t="shared" ca="1" si="138"/>
        <v>8.7992840035295607</v>
      </c>
      <c r="K1221" s="3">
        <f t="shared" ca="1" si="139"/>
        <v>17.748015560245101</v>
      </c>
    </row>
    <row r="1222" spans="3:11" x14ac:dyDescent="0.35">
      <c r="C1222" t="str">
        <f t="shared" ca="1" si="133"/>
        <v>4Q2024</v>
      </c>
      <c r="D1222" vm="2427">
        <f ca="1"/>
        <v>45720</v>
      </c>
      <c r="E1222" vm="2428">
        <f ca="1"/>
        <v>115.99</v>
      </c>
      <c r="F1222" s="3">
        <f t="shared" ca="1" si="134"/>
        <v>0.90241013071895426</v>
      </c>
      <c r="G1222" s="3">
        <f t="shared" ca="1" si="135"/>
        <v>3.2406045751633985</v>
      </c>
      <c r="H1222" s="3">
        <f t="shared" ca="1" si="136"/>
        <v>1.6066584967320261</v>
      </c>
      <c r="I1222" s="3">
        <f t="shared" ca="1" si="137"/>
        <v>32.1333936897379</v>
      </c>
      <c r="J1222" s="3">
        <f t="shared" ca="1" si="138"/>
        <v>8.9481759737804119</v>
      </c>
      <c r="K1222" s="3">
        <f t="shared" ca="1" si="139"/>
        <v>18.04832829066131</v>
      </c>
    </row>
    <row r="1223" spans="3:11" x14ac:dyDescent="0.35">
      <c r="C1223" t="str">
        <f t="shared" ca="1" si="133"/>
        <v>4Q2024</v>
      </c>
      <c r="D1223" vm="2429">
        <f ca="1"/>
        <v>45721</v>
      </c>
      <c r="E1223" vm="2430">
        <f ca="1"/>
        <v>117.3</v>
      </c>
      <c r="F1223" s="3">
        <f t="shared" ca="1" si="134"/>
        <v>0.90241013071895426</v>
      </c>
      <c r="G1223" s="3">
        <f t="shared" ca="1" si="135"/>
        <v>3.2406045751633985</v>
      </c>
      <c r="H1223" s="3">
        <f t="shared" ca="1" si="136"/>
        <v>1.6066584967320261</v>
      </c>
      <c r="I1223" s="3">
        <f t="shared" ca="1" si="137"/>
        <v>32.496310714770722</v>
      </c>
      <c r="J1223" s="3">
        <f t="shared" ca="1" si="138"/>
        <v>9.0492373629144076</v>
      </c>
      <c r="K1223" s="3">
        <f t="shared" ca="1" si="139"/>
        <v>18.252167501461951</v>
      </c>
    </row>
    <row r="1224" spans="3:11" x14ac:dyDescent="0.35">
      <c r="C1224" t="str">
        <f t="shared" ca="1" si="133"/>
        <v>4Q2024</v>
      </c>
      <c r="D1224" vm="2431">
        <f ca="1"/>
        <v>45722</v>
      </c>
      <c r="E1224" vm="2432">
        <f ca="1"/>
        <v>110.57</v>
      </c>
      <c r="F1224" s="3">
        <f t="shared" ca="1" si="134"/>
        <v>0.90241013071895426</v>
      </c>
      <c r="G1224" s="3">
        <f t="shared" ca="1" si="135"/>
        <v>3.2406045751633985</v>
      </c>
      <c r="H1224" s="3">
        <f t="shared" ca="1" si="136"/>
        <v>1.6066584967320261</v>
      </c>
      <c r="I1224" s="3">
        <f t="shared" ca="1" si="137"/>
        <v>30.631859128151735</v>
      </c>
      <c r="J1224" s="3">
        <f t="shared" ca="1" si="138"/>
        <v>8.5300441195008201</v>
      </c>
      <c r="K1224" s="3">
        <f t="shared" ca="1" si="139"/>
        <v>17.204963006280032</v>
      </c>
    </row>
    <row r="1225" spans="3:11" x14ac:dyDescent="0.35">
      <c r="C1225" t="str">
        <f t="shared" ca="1" si="133"/>
        <v>4Q2024</v>
      </c>
      <c r="D1225" vm="2433">
        <f ca="1"/>
        <v>45723</v>
      </c>
      <c r="E1225" vm="2434">
        <f ca="1"/>
        <v>112.69</v>
      </c>
      <c r="F1225" s="3">
        <f t="shared" ca="1" si="134"/>
        <v>0.90241013071895426</v>
      </c>
      <c r="G1225" s="3">
        <f t="shared" ca="1" si="135"/>
        <v>3.2406045751633985</v>
      </c>
      <c r="H1225" s="3">
        <f t="shared" ca="1" si="136"/>
        <v>1.6066584967320261</v>
      </c>
      <c r="I1225" s="3">
        <f t="shared" ca="1" si="137"/>
        <v>31.219175229731565</v>
      </c>
      <c r="J1225" s="3">
        <f t="shared" ca="1" si="138"/>
        <v>8.6935938484810293</v>
      </c>
      <c r="K1225" s="3">
        <f t="shared" ca="1" si="139"/>
        <v>17.534840202384888</v>
      </c>
    </row>
    <row r="1226" spans="3:11" x14ac:dyDescent="0.35">
      <c r="C1226" t="str">
        <f t="shared" ca="1" si="133"/>
        <v>4Q2024</v>
      </c>
      <c r="D1226" vm="2435">
        <f ca="1"/>
        <v>45726</v>
      </c>
      <c r="E1226" vm="2436">
        <f ca="1"/>
        <v>106.98</v>
      </c>
      <c r="F1226" s="3">
        <f t="shared" ca="1" si="134"/>
        <v>0.90241013071895426</v>
      </c>
      <c r="G1226" s="3">
        <f t="shared" ca="1" si="135"/>
        <v>3.2406045751633985</v>
      </c>
      <c r="H1226" s="3">
        <f t="shared" ca="1" si="136"/>
        <v>1.6066584967320261</v>
      </c>
      <c r="I1226" s="3">
        <f t="shared" ca="1" si="137"/>
        <v>29.637300258023629</v>
      </c>
      <c r="J1226" s="3">
        <f t="shared" ca="1" si="138"/>
        <v>8.253089625614523</v>
      </c>
      <c r="K1226" s="3">
        <f t="shared" ca="1" si="139"/>
        <v>16.646350207215683</v>
      </c>
    </row>
    <row r="1227" spans="3:11" x14ac:dyDescent="0.35">
      <c r="C1227" t="str">
        <f t="shared" ca="1" si="133"/>
        <v>4Q2024</v>
      </c>
      <c r="D1227" vm="2437">
        <f ca="1"/>
        <v>45727</v>
      </c>
      <c r="E1227" vm="2438">
        <f ca="1"/>
        <v>108.76</v>
      </c>
      <c r="F1227" s="3">
        <f t="shared" ca="1" si="134"/>
        <v>0.90241013071895426</v>
      </c>
      <c r="G1227" s="3">
        <f t="shared" ca="1" si="135"/>
        <v>3.2406045751633985</v>
      </c>
      <c r="H1227" s="3">
        <f t="shared" ca="1" si="136"/>
        <v>1.6066584967320261</v>
      </c>
      <c r="I1227" s="3">
        <f t="shared" ca="1" si="137"/>
        <v>30.130424154633108</v>
      </c>
      <c r="J1227" s="3">
        <f t="shared" ca="1" si="138"/>
        <v>8.3904096810790385</v>
      </c>
      <c r="K1227" s="3">
        <f t="shared" ca="1" si="139"/>
        <v>16.923322569982968</v>
      </c>
    </row>
    <row r="1228" spans="3:11" x14ac:dyDescent="0.35">
      <c r="C1228" t="str">
        <f t="shared" ca="1" si="133"/>
        <v>4Q2024</v>
      </c>
      <c r="D1228" vm="2439">
        <f ca="1"/>
        <v>45728</v>
      </c>
      <c r="E1228" vm="2440">
        <f ca="1"/>
        <v>115.74</v>
      </c>
      <c r="F1228" s="3">
        <f t="shared" ca="1" si="134"/>
        <v>0.90241013071895426</v>
      </c>
      <c r="G1228" s="3">
        <f t="shared" ca="1" si="135"/>
        <v>3.2406045751633985</v>
      </c>
      <c r="H1228" s="3">
        <f t="shared" ca="1" si="136"/>
        <v>1.6066584967320261</v>
      </c>
      <c r="I1228" s="3">
        <f t="shared" ca="1" si="137"/>
        <v>32.064134715494994</v>
      </c>
      <c r="J1228" s="3">
        <f t="shared" ca="1" si="138"/>
        <v>8.9288894491365181</v>
      </c>
      <c r="K1228" s="3">
        <f t="shared" ca="1" si="139"/>
        <v>18.009427677913095</v>
      </c>
    </row>
    <row r="1229" spans="3:11" x14ac:dyDescent="0.35">
      <c r="C1229" t="str">
        <f t="shared" ca="1" si="133"/>
        <v>4Q2024</v>
      </c>
      <c r="D1229" vm="2441">
        <f ca="1"/>
        <v>45729</v>
      </c>
      <c r="E1229" vm="2442">
        <f ca="1"/>
        <v>115.58</v>
      </c>
      <c r="F1229" s="3">
        <f t="shared" ca="1" si="134"/>
        <v>0.90241013071895426</v>
      </c>
      <c r="G1229" s="3">
        <f t="shared" ca="1" si="135"/>
        <v>3.2406045751633985</v>
      </c>
      <c r="H1229" s="3">
        <f t="shared" ca="1" si="136"/>
        <v>1.6066584967320261</v>
      </c>
      <c r="I1229" s="3">
        <f t="shared" ca="1" si="137"/>
        <v>32.019808971979536</v>
      </c>
      <c r="J1229" s="3">
        <f t="shared" ca="1" si="138"/>
        <v>8.9165460733644277</v>
      </c>
      <c r="K1229" s="3">
        <f t="shared" ca="1" si="139"/>
        <v>17.98453128575424</v>
      </c>
    </row>
    <row r="1230" spans="3:11" x14ac:dyDescent="0.35">
      <c r="C1230" t="str">
        <f t="shared" ca="1" si="133"/>
        <v>4Q2024</v>
      </c>
      <c r="D1230" vm="2443">
        <f ca="1"/>
        <v>45730</v>
      </c>
      <c r="E1230" vm="2444">
        <f ca="1"/>
        <v>121.67</v>
      </c>
      <c r="F1230" s="3">
        <f t="shared" ca="1" si="134"/>
        <v>0.90241013071895426</v>
      </c>
      <c r="G1230" s="3">
        <f t="shared" ca="1" si="135"/>
        <v>3.2406045751633985</v>
      </c>
      <c r="H1230" s="3">
        <f t="shared" ca="1" si="136"/>
        <v>1.6066584967320261</v>
      </c>
      <c r="I1230" s="3">
        <f t="shared" ca="1" si="137"/>
        <v>33.706957584536688</v>
      </c>
      <c r="J1230" s="3">
        <f t="shared" ca="1" si="138"/>
        <v>9.3863658136896522</v>
      </c>
      <c r="K1230" s="3">
        <f t="shared" ca="1" si="139"/>
        <v>18.93215021230073</v>
      </c>
    </row>
    <row r="1231" spans="3:11" x14ac:dyDescent="0.35">
      <c r="C1231" t="str">
        <f t="shared" ca="1" si="133"/>
        <v>4Q2024</v>
      </c>
      <c r="D1231" vm="2445">
        <f ca="1"/>
        <v>45733</v>
      </c>
      <c r="E1231" vm="2446">
        <f ca="1"/>
        <v>119.53</v>
      </c>
      <c r="F1231" s="3">
        <f t="shared" ca="1" si="134"/>
        <v>0.90241013071895426</v>
      </c>
      <c r="G1231" s="3">
        <f t="shared" ca="1" si="135"/>
        <v>3.2406045751633985</v>
      </c>
      <c r="H1231" s="3">
        <f t="shared" ca="1" si="136"/>
        <v>1.6066584967320261</v>
      </c>
      <c r="I1231" s="3">
        <f t="shared" ca="1" si="137"/>
        <v>33.114100765017426</v>
      </c>
      <c r="J1231" s="3">
        <f t="shared" ca="1" si="138"/>
        <v>9.2212731627379316</v>
      </c>
      <c r="K1231" s="3">
        <f t="shared" ca="1" si="139"/>
        <v>18.599160967176019</v>
      </c>
    </row>
    <row r="1232" spans="3:11" x14ac:dyDescent="0.35">
      <c r="C1232" t="str">
        <f t="shared" ca="1" si="133"/>
        <v>4Q2024</v>
      </c>
      <c r="D1232" vm="2447">
        <f ca="1"/>
        <v>45734</v>
      </c>
      <c r="E1232" vm="2448">
        <f ca="1"/>
        <v>115.43</v>
      </c>
      <c r="F1232" s="3">
        <f t="shared" ca="1" si="134"/>
        <v>0.90241013071895426</v>
      </c>
      <c r="G1232" s="3">
        <f t="shared" ca="1" si="135"/>
        <v>3.2406045751633985</v>
      </c>
      <c r="H1232" s="3">
        <f t="shared" ca="1" si="136"/>
        <v>1.6066584967320261</v>
      </c>
      <c r="I1232" s="3">
        <f t="shared" ca="1" si="137"/>
        <v>31.978253587433798</v>
      </c>
      <c r="J1232" s="3">
        <f t="shared" ca="1" si="138"/>
        <v>8.9049741585780922</v>
      </c>
      <c r="K1232" s="3">
        <f t="shared" ca="1" si="139"/>
        <v>17.961190918105313</v>
      </c>
    </row>
    <row r="1233" spans="3:11" x14ac:dyDescent="0.35">
      <c r="C1233" t="str">
        <f t="shared" ca="1" si="133"/>
        <v>4Q2024</v>
      </c>
      <c r="D1233" vm="2449">
        <f ca="1"/>
        <v>45735</v>
      </c>
      <c r="E1233" vm="2450">
        <f ca="1"/>
        <v>117.52</v>
      </c>
      <c r="F1233" s="3">
        <f t="shared" ca="1" si="134"/>
        <v>0.90241013071895426</v>
      </c>
      <c r="G1233" s="3">
        <f t="shared" ca="1" si="135"/>
        <v>3.2406045751633985</v>
      </c>
      <c r="H1233" s="3">
        <f t="shared" ca="1" si="136"/>
        <v>1.6066584967320261</v>
      </c>
      <c r="I1233" s="3">
        <f t="shared" ca="1" si="137"/>
        <v>32.557258612104476</v>
      </c>
      <c r="J1233" s="3">
        <f t="shared" ca="1" si="138"/>
        <v>9.0662095046010336</v>
      </c>
      <c r="K1233" s="3">
        <f t="shared" ca="1" si="139"/>
        <v>18.28640004068038</v>
      </c>
    </row>
    <row r="1234" spans="3:11" x14ac:dyDescent="0.35">
      <c r="C1234" t="str">
        <f t="shared" ca="1" si="133"/>
        <v>4Q2024</v>
      </c>
      <c r="D1234" vm="2451">
        <f ca="1"/>
        <v>45736</v>
      </c>
      <c r="E1234" vm="2452">
        <f ca="1"/>
        <v>118.53</v>
      </c>
      <c r="F1234" s="3">
        <f t="shared" ca="1" si="134"/>
        <v>0.90241013071895426</v>
      </c>
      <c r="G1234" s="3">
        <f t="shared" ca="1" si="135"/>
        <v>3.2406045751633985</v>
      </c>
      <c r="H1234" s="3">
        <f t="shared" ca="1" si="136"/>
        <v>1.6066584967320261</v>
      </c>
      <c r="I1234" s="3">
        <f t="shared" ca="1" si="137"/>
        <v>32.837064868045807</v>
      </c>
      <c r="J1234" s="3">
        <f t="shared" ca="1" si="138"/>
        <v>9.14412706416236</v>
      </c>
      <c r="K1234" s="3">
        <f t="shared" ca="1" si="139"/>
        <v>18.443558516183163</v>
      </c>
    </row>
    <row r="1235" spans="3:11" x14ac:dyDescent="0.35">
      <c r="C1235" t="str">
        <f t="shared" ca="1" si="133"/>
        <v>4Q2024</v>
      </c>
      <c r="D1235" vm="2453">
        <f ca="1"/>
        <v>45737</v>
      </c>
      <c r="E1235" vm="2454">
        <f ca="1"/>
        <v>117.7</v>
      </c>
      <c r="F1235" s="3">
        <f t="shared" ca="1" si="134"/>
        <v>0.90241013071895426</v>
      </c>
      <c r="G1235" s="3">
        <f t="shared" ca="1" si="135"/>
        <v>3.2406045751633985</v>
      </c>
      <c r="H1235" s="3">
        <f t="shared" ca="1" si="136"/>
        <v>1.6066584967320261</v>
      </c>
      <c r="I1235" s="3">
        <f t="shared" ca="1" si="137"/>
        <v>32.607125073559367</v>
      </c>
      <c r="J1235" s="3">
        <f t="shared" ca="1" si="138"/>
        <v>9.080095802344637</v>
      </c>
      <c r="K1235" s="3">
        <f t="shared" ca="1" si="139"/>
        <v>18.314408481859093</v>
      </c>
    </row>
    <row r="1236" spans="3:11" x14ac:dyDescent="0.35">
      <c r="C1236" t="str">
        <f t="shared" ca="1" si="133"/>
        <v>4Q2024</v>
      </c>
      <c r="D1236" vm="2455">
        <f ca="1"/>
        <v>45740</v>
      </c>
      <c r="E1236" vm="2456">
        <f ca="1"/>
        <v>121.41</v>
      </c>
      <c r="F1236" s="3">
        <f t="shared" ca="1" si="134"/>
        <v>0.90241013071895426</v>
      </c>
      <c r="G1236" s="3">
        <f t="shared" ca="1" si="135"/>
        <v>3.2406045751633985</v>
      </c>
      <c r="H1236" s="3">
        <f t="shared" ca="1" si="136"/>
        <v>1.6066584967320261</v>
      </c>
      <c r="I1236" s="3">
        <f t="shared" ca="1" si="137"/>
        <v>33.634928251324069</v>
      </c>
      <c r="J1236" s="3">
        <f t="shared" ca="1" si="138"/>
        <v>9.3663078280600036</v>
      </c>
      <c r="K1236" s="3">
        <f t="shared" ca="1" si="139"/>
        <v>18.891693575042588</v>
      </c>
    </row>
    <row r="1237" spans="3:11" x14ac:dyDescent="0.35">
      <c r="C1237" t="str">
        <f t="shared" ca="1" si="133"/>
        <v>4Q2024</v>
      </c>
      <c r="D1237" vm="2457">
        <f ca="1"/>
        <v>45741</v>
      </c>
      <c r="E1237" vm="2458">
        <f ca="1"/>
        <v>120.69</v>
      </c>
      <c r="F1237" s="3">
        <f t="shared" ca="1" si="134"/>
        <v>0.90241013071895426</v>
      </c>
      <c r="G1237" s="3">
        <f t="shared" ca="1" si="135"/>
        <v>3.2406045751633985</v>
      </c>
      <c r="H1237" s="3">
        <f t="shared" ca="1" si="136"/>
        <v>1.6066584967320261</v>
      </c>
      <c r="I1237" s="3">
        <f t="shared" ca="1" si="137"/>
        <v>33.435462405504502</v>
      </c>
      <c r="J1237" s="3">
        <f t="shared" ca="1" si="138"/>
        <v>9.3107626370855918</v>
      </c>
      <c r="K1237" s="3">
        <f t="shared" ca="1" si="139"/>
        <v>18.779659810327733</v>
      </c>
    </row>
    <row r="1238" spans="3:11" x14ac:dyDescent="0.35">
      <c r="C1238" t="str">
        <f t="shared" ca="1" si="133"/>
        <v>4Q2024</v>
      </c>
      <c r="D1238" vm="2459">
        <f ca="1"/>
        <v>45742</v>
      </c>
      <c r="E1238" vm="2460">
        <f ca="1"/>
        <v>113.76</v>
      </c>
      <c r="F1238" s="3">
        <f t="shared" ca="1" si="134"/>
        <v>0.90241013071895426</v>
      </c>
      <c r="G1238" s="3">
        <f t="shared" ca="1" si="135"/>
        <v>3.2406045751633985</v>
      </c>
      <c r="H1238" s="3">
        <f t="shared" ca="1" si="136"/>
        <v>1.6066584967320261</v>
      </c>
      <c r="I1238" s="3">
        <f t="shared" ca="1" si="137"/>
        <v>31.515603639491196</v>
      </c>
      <c r="J1238" s="3">
        <f t="shared" ca="1" si="138"/>
        <v>8.7761401739568896</v>
      </c>
      <c r="K1238" s="3">
        <f t="shared" ca="1" si="139"/>
        <v>17.701334824947242</v>
      </c>
    </row>
    <row r="1239" spans="3:11" x14ac:dyDescent="0.35">
      <c r="C1239" t="str">
        <f t="shared" ca="1" si="133"/>
        <v>4Q2024</v>
      </c>
      <c r="D1239" vm="2461">
        <f ca="1"/>
        <v>45743</v>
      </c>
      <c r="E1239" vm="2462">
        <f ca="1"/>
        <v>111.43</v>
      </c>
      <c r="F1239" s="3">
        <f t="shared" ca="1" si="134"/>
        <v>0.90241013071895426</v>
      </c>
      <c r="G1239" s="3">
        <f t="shared" ca="1" si="135"/>
        <v>3.2406045751633985</v>
      </c>
      <c r="H1239" s="3">
        <f t="shared" ca="1" si="136"/>
        <v>1.6066584967320261</v>
      </c>
      <c r="I1239" s="3">
        <f t="shared" ca="1" si="137"/>
        <v>30.870109999547328</v>
      </c>
      <c r="J1239" s="3">
        <f t="shared" ca="1" si="138"/>
        <v>8.5963897642758109</v>
      </c>
      <c r="K1239" s="3">
        <f t="shared" ca="1" si="139"/>
        <v>17.338781114133891</v>
      </c>
    </row>
    <row r="1240" spans="3:11" x14ac:dyDescent="0.35">
      <c r="C1240" t="str">
        <f t="shared" ca="1" si="133"/>
        <v>4Q2024</v>
      </c>
      <c r="D1240" vm="2463">
        <f ca="1"/>
        <v>45744</v>
      </c>
      <c r="E1240" vm="2464">
        <f ca="1"/>
        <v>109.67</v>
      </c>
      <c r="F1240" s="3">
        <f t="shared" ca="1" si="134"/>
        <v>0.90241013071895426</v>
      </c>
      <c r="G1240" s="3">
        <f t="shared" ca="1" si="135"/>
        <v>3.2406045751633985</v>
      </c>
      <c r="H1240" s="3">
        <f t="shared" ca="1" si="136"/>
        <v>1.6066584967320261</v>
      </c>
      <c r="I1240" s="3">
        <f t="shared" ca="1" si="137"/>
        <v>30.382526820877281</v>
      </c>
      <c r="J1240" s="3">
        <f t="shared" ca="1" si="138"/>
        <v>8.4606126307828067</v>
      </c>
      <c r="K1240" s="3">
        <f t="shared" ca="1" si="139"/>
        <v>17.064920800386464</v>
      </c>
    </row>
    <row r="1241" spans="3:11" x14ac:dyDescent="0.35">
      <c r="C1241" t="str">
        <f t="shared" ca="1" si="133"/>
        <v>4Q2024</v>
      </c>
      <c r="D1241" vm="2465">
        <f ca="1"/>
        <v>45747</v>
      </c>
      <c r="E1241" vm="2466">
        <f ca="1"/>
        <v>108.38</v>
      </c>
      <c r="F1241" s="3">
        <f t="shared" ca="1" si="134"/>
        <v>0.90241013071895426</v>
      </c>
      <c r="G1241" s="3">
        <f t="shared" ca="1" si="135"/>
        <v>3.2406045751633985</v>
      </c>
      <c r="H1241" s="3">
        <f t="shared" ca="1" si="136"/>
        <v>1.6066584967320261</v>
      </c>
      <c r="I1241" s="3">
        <f t="shared" ca="1" si="137"/>
        <v>30.025150513783892</v>
      </c>
      <c r="J1241" s="3">
        <f t="shared" ca="1" si="138"/>
        <v>8.3610941636203204</v>
      </c>
      <c r="K1241" s="3">
        <f t="shared" ca="1" si="139"/>
        <v>16.864193638605681</v>
      </c>
    </row>
    <row r="1242" spans="3:11" x14ac:dyDescent="0.35">
      <c r="C1242" t="str">
        <f t="shared" ca="1" si="133"/>
        <v>4Q2024</v>
      </c>
      <c r="D1242" vm="2467">
        <f ca="1"/>
        <v>45748</v>
      </c>
      <c r="E1242" vm="2468">
        <f ca="1"/>
        <v>110.15</v>
      </c>
      <c r="F1242" s="3">
        <f t="shared" ca="1" si="134"/>
        <v>0.90241013071895426</v>
      </c>
      <c r="G1242" s="3">
        <f t="shared" ca="1" si="135"/>
        <v>3.2406045751633985</v>
      </c>
      <c r="H1242" s="3">
        <f t="shared" ca="1" si="136"/>
        <v>1.6066584967320261</v>
      </c>
      <c r="I1242" s="3">
        <f t="shared" ca="1" si="137"/>
        <v>30.515504051423658</v>
      </c>
      <c r="J1242" s="3">
        <f t="shared" ca="1" si="138"/>
        <v>8.4976427580990812</v>
      </c>
      <c r="K1242" s="3">
        <f t="shared" ca="1" si="139"/>
        <v>17.139609976863035</v>
      </c>
    </row>
    <row r="1243" spans="3:11" x14ac:dyDescent="0.35">
      <c r="C1243" t="str">
        <f t="shared" ca="1" si="133"/>
        <v>4Q2024</v>
      </c>
      <c r="D1243" vm="2469">
        <f ca="1"/>
        <v>45749</v>
      </c>
      <c r="E1243" vm="2470">
        <f ca="1"/>
        <v>110.42</v>
      </c>
      <c r="F1243" s="3">
        <f t="shared" ca="1" si="134"/>
        <v>0.90241013071895426</v>
      </c>
      <c r="G1243" s="3">
        <f t="shared" ca="1" si="135"/>
        <v>3.2406045751633985</v>
      </c>
      <c r="H1243" s="3">
        <f t="shared" ca="1" si="136"/>
        <v>1.6066584967320261</v>
      </c>
      <c r="I1243" s="3">
        <f t="shared" ca="1" si="137"/>
        <v>30.590303743605993</v>
      </c>
      <c r="J1243" s="3">
        <f t="shared" ca="1" si="138"/>
        <v>8.5184722047144845</v>
      </c>
      <c r="K1243" s="3">
        <f t="shared" ca="1" si="139"/>
        <v>17.181622638631104</v>
      </c>
    </row>
    <row r="1244" spans="3:11" x14ac:dyDescent="0.35">
      <c r="C1244" t="str">
        <f t="shared" ca="1" si="133"/>
        <v>4Q2024</v>
      </c>
      <c r="D1244" vm="2471">
        <f ca="1"/>
        <v>45750</v>
      </c>
      <c r="E1244" vm="2472">
        <f ca="1"/>
        <v>101.8</v>
      </c>
      <c r="F1244" s="3">
        <f t="shared" ca="1" si="134"/>
        <v>0.90241013071895426</v>
      </c>
      <c r="G1244" s="3">
        <f t="shared" ca="1" si="135"/>
        <v>3.2406045751633985</v>
      </c>
      <c r="H1244" s="3">
        <f t="shared" ca="1" si="136"/>
        <v>1.6066584967320261</v>
      </c>
      <c r="I1244" s="3">
        <f t="shared" ca="1" si="137"/>
        <v>28.20225431171065</v>
      </c>
      <c r="J1244" s="3">
        <f t="shared" ca="1" si="138"/>
        <v>7.8534728349930676</v>
      </c>
      <c r="K1244" s="3">
        <f t="shared" ca="1" si="139"/>
        <v>15.84032951107269</v>
      </c>
    </row>
    <row r="1245" spans="3:11" x14ac:dyDescent="0.35">
      <c r="C1245" t="str">
        <f t="shared" ca="1" si="133"/>
        <v>4Q2024</v>
      </c>
      <c r="D1245" vm="2473">
        <f ca="1"/>
        <v>45751</v>
      </c>
      <c r="E1245" vm="2474">
        <f ca="1"/>
        <v>94.31</v>
      </c>
      <c r="F1245" s="3">
        <f t="shared" ca="1" si="134"/>
        <v>0.90241013071895426</v>
      </c>
      <c r="G1245" s="3">
        <f t="shared" ca="1" si="135"/>
        <v>3.2406045751633985</v>
      </c>
      <c r="H1245" s="3">
        <f t="shared" ca="1" si="136"/>
        <v>1.6066584967320261</v>
      </c>
      <c r="I1245" s="3">
        <f t="shared" ca="1" si="137"/>
        <v>26.127255443393238</v>
      </c>
      <c r="J1245" s="3">
        <f t="shared" ca="1" si="138"/>
        <v>7.2756485566620448</v>
      </c>
      <c r="K1245" s="3">
        <f t="shared" ca="1" si="139"/>
        <v>14.674867153136203</v>
      </c>
    </row>
    <row r="1246" spans="3:11" x14ac:dyDescent="0.35">
      <c r="C1246" t="str">
        <f t="shared" ca="1" si="133"/>
        <v>4Q2024</v>
      </c>
      <c r="D1246" vm="2475">
        <f ca="1"/>
        <v>45754</v>
      </c>
      <c r="E1246" vm="2476">
        <f ca="1"/>
        <v>97.64</v>
      </c>
      <c r="F1246" s="3">
        <f t="shared" ca="1" si="134"/>
        <v>0.90241013071895426</v>
      </c>
      <c r="G1246" s="3">
        <f t="shared" ca="1" si="135"/>
        <v>3.2406045751633985</v>
      </c>
      <c r="H1246" s="3">
        <f t="shared" ca="1" si="136"/>
        <v>1.6066584967320261</v>
      </c>
      <c r="I1246" s="3">
        <f t="shared" ca="1" si="137"/>
        <v>27.049784980308722</v>
      </c>
      <c r="J1246" s="3">
        <f t="shared" ca="1" si="138"/>
        <v>7.5325450649186942</v>
      </c>
      <c r="K1246" s="3">
        <f t="shared" ca="1" si="139"/>
        <v>15.193023314942412</v>
      </c>
    </row>
    <row r="1247" spans="3:11" x14ac:dyDescent="0.35">
      <c r="C1247" t="str">
        <f t="shared" ca="1" si="133"/>
        <v>4Q2024</v>
      </c>
      <c r="D1247" vm="2477">
        <f ca="1"/>
        <v>45755</v>
      </c>
      <c r="E1247" vm="2478">
        <f ca="1"/>
        <v>96.3</v>
      </c>
      <c r="F1247" s="3">
        <f t="shared" ca="1" si="134"/>
        <v>0.90241013071895426</v>
      </c>
      <c r="G1247" s="3">
        <f t="shared" ca="1" si="135"/>
        <v>3.2406045751633985</v>
      </c>
      <c r="H1247" s="3">
        <f t="shared" ca="1" si="136"/>
        <v>1.6066584967320261</v>
      </c>
      <c r="I1247" s="3">
        <f t="shared" ca="1" si="137"/>
        <v>26.678556878366756</v>
      </c>
      <c r="J1247" s="3">
        <f t="shared" ca="1" si="138"/>
        <v>7.4291692928274298</v>
      </c>
      <c r="K1247" s="3">
        <f t="shared" ca="1" si="139"/>
        <v>14.984516030611985</v>
      </c>
    </row>
    <row r="1248" spans="3:11" x14ac:dyDescent="0.35">
      <c r="C1248" t="str">
        <f t="shared" ca="1" si="133"/>
        <v>4Q2024</v>
      </c>
      <c r="D1248" vm="2479">
        <f ca="1"/>
        <v>45756</v>
      </c>
      <c r="E1248" vm="2480">
        <f ca="1"/>
        <v>114.33</v>
      </c>
      <c r="F1248" s="3">
        <f t="shared" ca="1" si="134"/>
        <v>0.90241013071895426</v>
      </c>
      <c r="G1248" s="3">
        <f t="shared" ca="1" si="135"/>
        <v>3.2406045751633985</v>
      </c>
      <c r="H1248" s="3">
        <f t="shared" ca="1" si="136"/>
        <v>1.6066584967320261</v>
      </c>
      <c r="I1248" s="3">
        <f t="shared" ca="1" si="137"/>
        <v>31.673514100765015</v>
      </c>
      <c r="J1248" s="3">
        <f t="shared" ca="1" si="138"/>
        <v>8.8201134501449641</v>
      </c>
      <c r="K1248" s="3">
        <f t="shared" ca="1" si="139"/>
        <v>17.79002822201317</v>
      </c>
    </row>
    <row r="1249" spans="3:11" x14ac:dyDescent="0.35">
      <c r="C1249" t="str">
        <f t="shared" ca="1" si="133"/>
        <v>4Q2024</v>
      </c>
      <c r="D1249" vm="2481">
        <f ca="1"/>
        <v>45757</v>
      </c>
      <c r="E1249" vm="2482">
        <f ca="1"/>
        <v>107.57</v>
      </c>
      <c r="F1249" s="3">
        <f t="shared" ca="1" si="134"/>
        <v>0.90241013071895426</v>
      </c>
      <c r="G1249" s="3">
        <f t="shared" ca="1" si="135"/>
        <v>3.2406045751633985</v>
      </c>
      <c r="H1249" s="3">
        <f t="shared" ca="1" si="136"/>
        <v>1.6066584967320261</v>
      </c>
      <c r="I1249" s="3">
        <f t="shared" ca="1" si="137"/>
        <v>29.800751437236883</v>
      </c>
      <c r="J1249" s="3">
        <f t="shared" ca="1" si="138"/>
        <v>8.2986058237741087</v>
      </c>
      <c r="K1249" s="3">
        <f t="shared" ca="1" si="139"/>
        <v>16.738155653301465</v>
      </c>
    </row>
    <row r="1250" spans="3:11" x14ac:dyDescent="0.35">
      <c r="C1250" t="str">
        <f t="shared" ca="1" si="133"/>
        <v>4Q2024</v>
      </c>
      <c r="D1250" vm="2483">
        <f ca="1"/>
        <v>45758</v>
      </c>
      <c r="E1250" vm="2484">
        <f ca="1"/>
        <v>110.93</v>
      </c>
      <c r="F1250" s="3">
        <f t="shared" ca="1" si="134"/>
        <v>0.90241013071895426</v>
      </c>
      <c r="G1250" s="3">
        <f t="shared" ca="1" si="135"/>
        <v>3.2406045751633985</v>
      </c>
      <c r="H1250" s="3">
        <f t="shared" ca="1" si="136"/>
        <v>1.6066584967320261</v>
      </c>
      <c r="I1250" s="3">
        <f t="shared" ca="1" si="137"/>
        <v>30.731592051061519</v>
      </c>
      <c r="J1250" s="3">
        <f t="shared" ca="1" si="138"/>
        <v>8.5578167149880251</v>
      </c>
      <c r="K1250" s="3">
        <f t="shared" ca="1" si="139"/>
        <v>17.260979888637465</v>
      </c>
    </row>
    <row r="1251" spans="3:11" x14ac:dyDescent="0.35">
      <c r="C1251" t="str">
        <f t="shared" ca="1" si="133"/>
        <v>4Q2024</v>
      </c>
      <c r="D1251" vm="2485">
        <f ca="1"/>
        <v>45761</v>
      </c>
      <c r="E1251" vm="2486">
        <f ca="1"/>
        <v>110.71</v>
      </c>
      <c r="F1251" s="3">
        <f t="shared" ca="1" si="134"/>
        <v>0.90241013071895426</v>
      </c>
      <c r="G1251" s="3">
        <f t="shared" ca="1" si="135"/>
        <v>3.2406045751633985</v>
      </c>
      <c r="H1251" s="3">
        <f t="shared" ca="1" si="136"/>
        <v>1.6066584967320261</v>
      </c>
      <c r="I1251" s="3">
        <f t="shared" ca="1" si="137"/>
        <v>30.670644153727761</v>
      </c>
      <c r="J1251" s="3">
        <f t="shared" ca="1" si="138"/>
        <v>8.5408445733013991</v>
      </c>
      <c r="K1251" s="3">
        <f t="shared" ca="1" si="139"/>
        <v>17.226747349419032</v>
      </c>
    </row>
    <row r="1252" spans="3:11" x14ac:dyDescent="0.35">
      <c r="C1252" t="str">
        <f t="shared" ca="1" si="133"/>
        <v>4Q2024</v>
      </c>
      <c r="D1252" vm="2487">
        <f ca="1"/>
        <v>45762</v>
      </c>
      <c r="E1252" vm="2488">
        <f ca="1"/>
        <v>112.2</v>
      </c>
      <c r="F1252" s="3">
        <f t="shared" ca="1" si="134"/>
        <v>0.90241013071895426</v>
      </c>
      <c r="G1252" s="3">
        <f t="shared" ca="1" si="135"/>
        <v>3.2406045751633985</v>
      </c>
      <c r="H1252" s="3">
        <f t="shared" ca="1" si="136"/>
        <v>1.6066584967320261</v>
      </c>
      <c r="I1252" s="3">
        <f t="shared" ca="1" si="137"/>
        <v>31.083427640215472</v>
      </c>
      <c r="J1252" s="3">
        <f t="shared" ca="1" si="138"/>
        <v>8.6557922601790001</v>
      </c>
      <c r="K1252" s="3">
        <f t="shared" ca="1" si="139"/>
        <v>17.45859500139839</v>
      </c>
    </row>
    <row r="1253" spans="3:11" x14ac:dyDescent="0.35">
      <c r="C1253" t="str">
        <f t="shared" ca="1" si="133"/>
        <v>4Q2024</v>
      </c>
      <c r="D1253" vm="2489">
        <f ca="1"/>
        <v>45763</v>
      </c>
      <c r="E1253" vm="2490">
        <f ca="1"/>
        <v>104.49</v>
      </c>
      <c r="F1253" s="3">
        <f t="shared" ca="1" si="134"/>
        <v>0.90241013071895426</v>
      </c>
      <c r="G1253" s="3">
        <f t="shared" ca="1" si="135"/>
        <v>3.2406045751633985</v>
      </c>
      <c r="H1253" s="3">
        <f t="shared" ca="1" si="136"/>
        <v>1.6066584967320261</v>
      </c>
      <c r="I1253" s="3">
        <f t="shared" ca="1" si="137"/>
        <v>28.947480874564299</v>
      </c>
      <c r="J1253" s="3">
        <f t="shared" ca="1" si="138"/>
        <v>8.0609958401613522</v>
      </c>
      <c r="K1253" s="3">
        <f t="shared" ca="1" si="139"/>
        <v>16.258900104243473</v>
      </c>
    </row>
    <row r="1254" spans="3:11" x14ac:dyDescent="0.35">
      <c r="C1254" t="str">
        <f t="shared" ca="1" si="133"/>
        <v>4Q2024</v>
      </c>
      <c r="D1254" vm="2491">
        <f ca="1"/>
        <v>45764</v>
      </c>
      <c r="E1254" vm="2492">
        <f ca="1"/>
        <v>101.49</v>
      </c>
      <c r="F1254" s="3">
        <f t="shared" ca="1" si="134"/>
        <v>0.90241013071895426</v>
      </c>
      <c r="G1254" s="3">
        <f t="shared" ca="1" si="135"/>
        <v>3.2406045751633985</v>
      </c>
      <c r="H1254" s="3">
        <f t="shared" ca="1" si="136"/>
        <v>1.6066584967320261</v>
      </c>
      <c r="I1254" s="3">
        <f t="shared" ca="1" si="137"/>
        <v>28.116373183649447</v>
      </c>
      <c r="J1254" s="3">
        <f t="shared" ca="1" si="138"/>
        <v>7.8295575444346399</v>
      </c>
      <c r="K1254" s="3">
        <f t="shared" ca="1" si="139"/>
        <v>15.792092751264905</v>
      </c>
    </row>
    <row r="1255" spans="3:11" x14ac:dyDescent="0.35">
      <c r="C1255" t="str">
        <f t="shared" ca="1" si="133"/>
        <v>4Q2024</v>
      </c>
      <c r="D1255" vm="2493">
        <f ca="1"/>
        <v>45768</v>
      </c>
      <c r="E1255" vm="2494">
        <f ca="1"/>
        <v>96.91</v>
      </c>
      <c r="F1255" s="3">
        <f t="shared" ca="1" si="134"/>
        <v>0.90241013071895426</v>
      </c>
      <c r="G1255" s="3">
        <f t="shared" ca="1" si="135"/>
        <v>3.2406045751633985</v>
      </c>
      <c r="H1255" s="3">
        <f t="shared" ca="1" si="136"/>
        <v>1.6066584967320261</v>
      </c>
      <c r="I1255" s="3">
        <f t="shared" ca="1" si="137"/>
        <v>26.847548775519442</v>
      </c>
      <c r="J1255" s="3">
        <f t="shared" ca="1" si="138"/>
        <v>7.4762284129585277</v>
      </c>
      <c r="K1255" s="3">
        <f t="shared" ca="1" si="139"/>
        <v>15.079433525717628</v>
      </c>
    </row>
    <row r="1256" spans="3:11" x14ac:dyDescent="0.35">
      <c r="C1256" t="str">
        <f t="shared" ca="1" si="133"/>
        <v>4Q2024</v>
      </c>
      <c r="D1256" vm="2495">
        <f ca="1"/>
        <v>45769</v>
      </c>
      <c r="E1256" vm="2496">
        <f ca="1"/>
        <v>98.89</v>
      </c>
      <c r="F1256" s="3">
        <f t="shared" ca="1" si="134"/>
        <v>0.90241013071895426</v>
      </c>
      <c r="G1256" s="3">
        <f t="shared" ca="1" si="135"/>
        <v>3.2406045751633985</v>
      </c>
      <c r="H1256" s="3">
        <f t="shared" ca="1" si="136"/>
        <v>1.6066584967320261</v>
      </c>
      <c r="I1256" s="3">
        <f t="shared" ca="1" si="137"/>
        <v>27.396079851523243</v>
      </c>
      <c r="J1256" s="3">
        <f t="shared" ca="1" si="138"/>
        <v>7.6289776881381579</v>
      </c>
      <c r="K1256" s="3">
        <f t="shared" ca="1" si="139"/>
        <v>15.387526378683482</v>
      </c>
    </row>
    <row r="1257" spans="3:11" x14ac:dyDescent="0.35">
      <c r="C1257" t="str">
        <f t="shared" ca="1" si="133"/>
        <v>4Q2024</v>
      </c>
      <c r="D1257" vm="2497">
        <f ca="1"/>
        <v>45770</v>
      </c>
      <c r="E1257" vm="2498">
        <f ca="1"/>
        <v>102.71</v>
      </c>
      <c r="F1257" s="3">
        <f t="shared" ca="1" si="134"/>
        <v>0.90241013071895426</v>
      </c>
      <c r="G1257" s="3">
        <f t="shared" ca="1" si="135"/>
        <v>3.2406045751633985</v>
      </c>
      <c r="H1257" s="3">
        <f t="shared" ca="1" si="136"/>
        <v>1.6066584967320261</v>
      </c>
      <c r="I1257" s="3">
        <f t="shared" ca="1" si="137"/>
        <v>28.45435697795482</v>
      </c>
      <c r="J1257" s="3">
        <f t="shared" ca="1" si="138"/>
        <v>7.9236757846968358</v>
      </c>
      <c r="K1257" s="3">
        <f t="shared" ca="1" si="139"/>
        <v>15.98192774147619</v>
      </c>
    </row>
    <row r="1258" spans="3:11" x14ac:dyDescent="0.35">
      <c r="C1258" t="str">
        <f t="shared" ca="1" si="133"/>
        <v>4Q2024</v>
      </c>
      <c r="D1258" vm="2499">
        <f ca="1"/>
        <v>45771</v>
      </c>
      <c r="E1258" vm="2500">
        <f ca="1"/>
        <v>106.43</v>
      </c>
      <c r="F1258" s="3">
        <f t="shared" ca="1" si="134"/>
        <v>0.90241013071895426</v>
      </c>
      <c r="G1258" s="3">
        <f t="shared" ca="1" si="135"/>
        <v>3.2406045751633985</v>
      </c>
      <c r="H1258" s="3">
        <f t="shared" ca="1" si="136"/>
        <v>1.6066584967320261</v>
      </c>
      <c r="I1258" s="3">
        <f t="shared" ca="1" si="137"/>
        <v>29.484930514689243</v>
      </c>
      <c r="J1258" s="3">
        <f t="shared" ca="1" si="138"/>
        <v>8.210659271397958</v>
      </c>
      <c r="K1258" s="3">
        <f t="shared" ca="1" si="139"/>
        <v>16.560768859169613</v>
      </c>
    </row>
    <row r="1259" spans="3:11" x14ac:dyDescent="0.35">
      <c r="C1259" t="str">
        <f t="shared" ca="1" si="133"/>
        <v>4Q2024</v>
      </c>
      <c r="D1259" vm="2501">
        <f ca="1"/>
        <v>45772</v>
      </c>
      <c r="E1259" vm="2502">
        <f ca="1"/>
        <v>111.01</v>
      </c>
      <c r="F1259" s="3">
        <f t="shared" ca="1" si="134"/>
        <v>0.90241013071895426</v>
      </c>
      <c r="G1259" s="3">
        <f t="shared" ca="1" si="135"/>
        <v>3.2406045751633985</v>
      </c>
      <c r="H1259" s="3">
        <f t="shared" ca="1" si="136"/>
        <v>1.6066584967320261</v>
      </c>
      <c r="I1259" s="3">
        <f t="shared" ca="1" si="137"/>
        <v>30.753754922819247</v>
      </c>
      <c r="J1259" s="3">
        <f t="shared" ca="1" si="138"/>
        <v>8.563988402874072</v>
      </c>
      <c r="K1259" s="3">
        <f t="shared" ca="1" si="139"/>
        <v>17.27342808471689</v>
      </c>
    </row>
    <row r="1260" spans="3:11" x14ac:dyDescent="0.35">
      <c r="C1260" t="str">
        <f t="shared" ca="1" si="133"/>
        <v>1Q2025</v>
      </c>
      <c r="D1260" vm="2503">
        <f ca="1"/>
        <v>45775</v>
      </c>
      <c r="E1260" vm="2504">
        <f ca="1"/>
        <v>108.73</v>
      </c>
      <c r="F1260" s="3">
        <f t="shared" ca="1" si="134"/>
        <v>0.76978269782697828</v>
      </c>
      <c r="G1260" s="3">
        <f t="shared" ca="1" si="135"/>
        <v>3.4374743747437475</v>
      </c>
      <c r="H1260" s="3">
        <f t="shared" ca="1" si="136"/>
        <v>1.806560065600656</v>
      </c>
      <c r="I1260" s="3">
        <f t="shared" ca="1" si="137"/>
        <v>35.311913448735019</v>
      </c>
      <c r="J1260" s="3">
        <f t="shared" ca="1" si="138"/>
        <v>7.9076953125000005</v>
      </c>
      <c r="K1260" s="3">
        <f t="shared" ca="1" si="139"/>
        <v>15.046552017611548</v>
      </c>
    </row>
    <row r="1261" spans="3:11" x14ac:dyDescent="0.35">
      <c r="C1261" t="str">
        <f t="shared" ca="1" si="133"/>
        <v>1Q2025</v>
      </c>
      <c r="D1261" vm="2505">
        <f ca="1"/>
        <v>45776</v>
      </c>
      <c r="E1261" vm="2153">
        <f ca="1"/>
        <v>109.02</v>
      </c>
      <c r="F1261" s="3">
        <f t="shared" ca="1" si="134"/>
        <v>0.76978269782697828</v>
      </c>
      <c r="G1261" s="3">
        <f t="shared" ca="1" si="135"/>
        <v>3.4374743747437475</v>
      </c>
      <c r="H1261" s="3">
        <f t="shared" ca="1" si="136"/>
        <v>1.806560065600656</v>
      </c>
      <c r="I1261" s="3">
        <f t="shared" ca="1" si="137"/>
        <v>35.40609587217044</v>
      </c>
      <c r="J1261" s="3">
        <f t="shared" ca="1" si="138"/>
        <v>7.9287863788167936</v>
      </c>
      <c r="K1261" s="3">
        <f t="shared" ca="1" si="139"/>
        <v>15.08668353683446</v>
      </c>
    </row>
    <row r="1262" spans="3:11" x14ac:dyDescent="0.35">
      <c r="C1262" t="str">
        <f t="shared" ca="1" si="133"/>
        <v>1Q2025</v>
      </c>
      <c r="D1262" vm="2506">
        <f ca="1"/>
        <v>45777</v>
      </c>
      <c r="E1262" vm="2507">
        <f ca="1"/>
        <v>108.92</v>
      </c>
      <c r="F1262" s="3">
        <f t="shared" ca="1" si="134"/>
        <v>0.76978269782697828</v>
      </c>
      <c r="G1262" s="3">
        <f t="shared" ca="1" si="135"/>
        <v>3.4374743747437475</v>
      </c>
      <c r="H1262" s="3">
        <f t="shared" ca="1" si="136"/>
        <v>1.806560065600656</v>
      </c>
      <c r="I1262" s="3">
        <f t="shared" ca="1" si="137"/>
        <v>35.37361917443409</v>
      </c>
      <c r="J1262" s="3">
        <f t="shared" ca="1" si="138"/>
        <v>7.9215135973282447</v>
      </c>
      <c r="K1262" s="3">
        <f t="shared" ca="1" si="139"/>
        <v>15.072845081930009</v>
      </c>
    </row>
    <row r="1263" spans="3:11" x14ac:dyDescent="0.35">
      <c r="C1263" t="str">
        <f t="shared" ca="1" si="133"/>
        <v>1Q2025</v>
      </c>
      <c r="D1263" vm="2508">
        <f ca="1"/>
        <v>45778</v>
      </c>
      <c r="E1263" vm="2509">
        <f ca="1"/>
        <v>111.61</v>
      </c>
      <c r="F1263" s="3">
        <f t="shared" ca="1" si="134"/>
        <v>0.76978269782697828</v>
      </c>
      <c r="G1263" s="3">
        <f t="shared" ca="1" si="135"/>
        <v>3.4374743747437475</v>
      </c>
      <c r="H1263" s="3">
        <f t="shared" ca="1" si="136"/>
        <v>1.806560065600656</v>
      </c>
      <c r="I1263" s="3">
        <f t="shared" ca="1" si="137"/>
        <v>36.247242343541942</v>
      </c>
      <c r="J1263" s="3">
        <f t="shared" ca="1" si="138"/>
        <v>8.117151419370229</v>
      </c>
      <c r="K1263" s="3">
        <f t="shared" ca="1" si="139"/>
        <v>15.445099518859788</v>
      </c>
    </row>
    <row r="1264" spans="3:11" x14ac:dyDescent="0.35">
      <c r="C1264" t="str">
        <f t="shared" ca="1" si="133"/>
        <v>1Q2025</v>
      </c>
      <c r="D1264" vm="2510">
        <f ca="1"/>
        <v>45779</v>
      </c>
      <c r="E1264" vm="2511">
        <f ca="1"/>
        <v>114.5</v>
      </c>
      <c r="F1264" s="3">
        <f t="shared" ca="1" si="134"/>
        <v>0.76978269782697828</v>
      </c>
      <c r="G1264" s="3">
        <f t="shared" ca="1" si="135"/>
        <v>3.4374743747437475</v>
      </c>
      <c r="H1264" s="3">
        <f t="shared" ca="1" si="136"/>
        <v>1.806560065600656</v>
      </c>
      <c r="I1264" s="3">
        <f t="shared" ca="1" si="137"/>
        <v>37.185818908122506</v>
      </c>
      <c r="J1264" s="3">
        <f t="shared" ca="1" si="138"/>
        <v>8.3273348043893129</v>
      </c>
      <c r="K1264" s="3">
        <f t="shared" ca="1" si="139"/>
        <v>15.845030865598476</v>
      </c>
    </row>
    <row r="1265" spans="3:11" x14ac:dyDescent="0.35">
      <c r="C1265" t="str">
        <f t="shared" ca="1" si="133"/>
        <v>1Q2025</v>
      </c>
      <c r="D1265" vm="2512">
        <f ca="1"/>
        <v>45782</v>
      </c>
      <c r="E1265" vm="2513">
        <f ca="1"/>
        <v>113.82</v>
      </c>
      <c r="F1265" s="3">
        <f t="shared" ca="1" si="134"/>
        <v>0.76978269782697828</v>
      </c>
      <c r="G1265" s="3">
        <f t="shared" ca="1" si="135"/>
        <v>3.4374743747437475</v>
      </c>
      <c r="H1265" s="3">
        <f t="shared" ca="1" si="136"/>
        <v>1.806560065600656</v>
      </c>
      <c r="I1265" s="3">
        <f t="shared" ca="1" si="137"/>
        <v>36.96497736351531</v>
      </c>
      <c r="J1265" s="3">
        <f t="shared" ca="1" si="138"/>
        <v>8.2778798902671742</v>
      </c>
      <c r="K1265" s="3">
        <f t="shared" ca="1" si="139"/>
        <v>15.750929372248196</v>
      </c>
    </row>
    <row r="1266" spans="3:11" x14ac:dyDescent="0.35">
      <c r="C1266" t="str">
        <f t="shared" ca="1" si="133"/>
        <v>1Q2025</v>
      </c>
      <c r="D1266" vm="2514">
        <f ca="1"/>
        <v>45783</v>
      </c>
      <c r="E1266" vm="2515">
        <f ca="1"/>
        <v>113.54</v>
      </c>
      <c r="F1266" s="3">
        <f t="shared" ca="1" si="134"/>
        <v>0.76978269782697828</v>
      </c>
      <c r="G1266" s="3">
        <f t="shared" ca="1" si="135"/>
        <v>3.4374743747437475</v>
      </c>
      <c r="H1266" s="3">
        <f t="shared" ca="1" si="136"/>
        <v>1.806560065600656</v>
      </c>
      <c r="I1266" s="3">
        <f t="shared" ca="1" si="137"/>
        <v>36.874042609853532</v>
      </c>
      <c r="J1266" s="3">
        <f t="shared" ca="1" si="138"/>
        <v>8.2575161020992365</v>
      </c>
      <c r="K1266" s="3">
        <f t="shared" ca="1" si="139"/>
        <v>15.71218169851573</v>
      </c>
    </row>
    <row r="1267" spans="3:11" x14ac:dyDescent="0.35">
      <c r="C1267" t="str">
        <f t="shared" ca="1" si="133"/>
        <v>1Q2025</v>
      </c>
      <c r="D1267" vm="2516">
        <f ca="1"/>
        <v>45784</v>
      </c>
      <c r="E1267" vm="2517">
        <f ca="1"/>
        <v>117.06</v>
      </c>
      <c r="F1267" s="3">
        <f t="shared" ca="1" si="134"/>
        <v>0.76978269782697828</v>
      </c>
      <c r="G1267" s="3">
        <f t="shared" ca="1" si="135"/>
        <v>3.4374743747437475</v>
      </c>
      <c r="H1267" s="3">
        <f t="shared" ca="1" si="136"/>
        <v>1.806560065600656</v>
      </c>
      <c r="I1267" s="3">
        <f t="shared" ca="1" si="137"/>
        <v>38.017222370173101</v>
      </c>
      <c r="J1267" s="3">
        <f t="shared" ca="1" si="138"/>
        <v>8.513518010496183</v>
      </c>
      <c r="K1267" s="3">
        <f t="shared" ca="1" si="139"/>
        <v>16.199295311152468</v>
      </c>
    </row>
    <row r="1268" spans="3:11" x14ac:dyDescent="0.35">
      <c r="C1268" t="str">
        <f t="shared" ca="1" si="133"/>
        <v>1Q2025</v>
      </c>
      <c r="D1268" vm="2518">
        <f ca="1"/>
        <v>45785</v>
      </c>
      <c r="E1268" vm="2519">
        <f ca="1"/>
        <v>117.37</v>
      </c>
      <c r="F1268" s="3">
        <f t="shared" ca="1" si="134"/>
        <v>0.76978269782697828</v>
      </c>
      <c r="G1268" s="3">
        <f t="shared" ca="1" si="135"/>
        <v>3.4374743747437475</v>
      </c>
      <c r="H1268" s="3">
        <f t="shared" ca="1" si="136"/>
        <v>1.806560065600656</v>
      </c>
      <c r="I1268" s="3">
        <f t="shared" ca="1" si="137"/>
        <v>38.117900133155793</v>
      </c>
      <c r="J1268" s="3">
        <f t="shared" ca="1" si="138"/>
        <v>8.5360636331106878</v>
      </c>
      <c r="K1268" s="3">
        <f t="shared" ca="1" si="139"/>
        <v>16.242194521356272</v>
      </c>
    </row>
    <row r="1269" spans="3:11" x14ac:dyDescent="0.35">
      <c r="C1269" t="str">
        <f t="shared" ca="1" si="133"/>
        <v>1Q2025</v>
      </c>
      <c r="D1269" vm="2520">
        <f ca="1"/>
        <v>45786</v>
      </c>
      <c r="E1269" vm="2521">
        <f ca="1"/>
        <v>116.65</v>
      </c>
      <c r="F1269" s="3">
        <f t="shared" ca="1" si="134"/>
        <v>0.76978269782697828</v>
      </c>
      <c r="G1269" s="3">
        <f t="shared" ca="1" si="135"/>
        <v>3.4374743747437475</v>
      </c>
      <c r="H1269" s="3">
        <f t="shared" ca="1" si="136"/>
        <v>1.806560065600656</v>
      </c>
      <c r="I1269" s="3">
        <f t="shared" ca="1" si="137"/>
        <v>37.88406790945406</v>
      </c>
      <c r="J1269" s="3">
        <f t="shared" ca="1" si="138"/>
        <v>8.4836996063931291</v>
      </c>
      <c r="K1269" s="3">
        <f t="shared" ca="1" si="139"/>
        <v>16.14255764604421</v>
      </c>
    </row>
    <row r="1270" spans="3:11" x14ac:dyDescent="0.35">
      <c r="C1270" t="str">
        <f t="shared" ca="1" si="133"/>
        <v>1Q2025</v>
      </c>
      <c r="D1270" vm="2522">
        <f ca="1"/>
        <v>45789</v>
      </c>
      <c r="E1270" vm="2523">
        <f ca="1"/>
        <v>123</v>
      </c>
      <c r="F1270" s="3">
        <f t="shared" ca="1" si="134"/>
        <v>0.76978269782697828</v>
      </c>
      <c r="G1270" s="3">
        <f t="shared" ca="1" si="135"/>
        <v>3.4374743747437475</v>
      </c>
      <c r="H1270" s="3">
        <f t="shared" ca="1" si="136"/>
        <v>1.806560065600656</v>
      </c>
      <c r="I1270" s="3">
        <f t="shared" ca="1" si="137"/>
        <v>39.94633821571238</v>
      </c>
      <c r="J1270" s="3">
        <f t="shared" ca="1" si="138"/>
        <v>8.9455212309160306</v>
      </c>
      <c r="K1270" s="3">
        <f t="shared" ca="1" si="139"/>
        <v>17.021299532476963</v>
      </c>
    </row>
    <row r="1271" spans="3:11" x14ac:dyDescent="0.35">
      <c r="C1271" t="str">
        <f t="shared" ca="1" si="133"/>
        <v>1Q2025</v>
      </c>
      <c r="D1271" vm="2524">
        <f ca="1"/>
        <v>45790</v>
      </c>
      <c r="E1271" vm="2525">
        <f ca="1"/>
        <v>129.93</v>
      </c>
      <c r="F1271" s="3">
        <f t="shared" ca="1" si="134"/>
        <v>0.76978269782697828</v>
      </c>
      <c r="G1271" s="3">
        <f t="shared" ca="1" si="135"/>
        <v>3.4374743747437475</v>
      </c>
      <c r="H1271" s="3">
        <f t="shared" ca="1" si="136"/>
        <v>1.806560065600656</v>
      </c>
      <c r="I1271" s="3">
        <f t="shared" ca="1" si="137"/>
        <v>42.196973368841547</v>
      </c>
      <c r="J1271" s="3">
        <f t="shared" ca="1" si="138"/>
        <v>9.4495249880725201</v>
      </c>
      <c r="K1271" s="3">
        <f t="shared" ca="1" si="139"/>
        <v>17.980304457355547</v>
      </c>
    </row>
    <row r="1272" spans="3:11" x14ac:dyDescent="0.35">
      <c r="C1272" t="str">
        <f t="shared" ca="1" si="133"/>
        <v>1Q2025</v>
      </c>
      <c r="D1272" vm="2526">
        <f ca="1"/>
        <v>45791</v>
      </c>
      <c r="E1272" vm="2305">
        <f ca="1"/>
        <v>135.34</v>
      </c>
      <c r="F1272" s="3">
        <f t="shared" ca="1" si="134"/>
        <v>0.76978269782697828</v>
      </c>
      <c r="G1272" s="3">
        <f t="shared" ca="1" si="135"/>
        <v>3.4374743747437475</v>
      </c>
      <c r="H1272" s="3">
        <f t="shared" ca="1" si="136"/>
        <v>1.806560065600656</v>
      </c>
      <c r="I1272" s="3">
        <f t="shared" ca="1" si="137"/>
        <v>43.953962716378165</v>
      </c>
      <c r="J1272" s="3">
        <f t="shared" ca="1" si="138"/>
        <v>9.8429824666030541</v>
      </c>
      <c r="K1272" s="3">
        <f t="shared" ca="1" si="139"/>
        <v>18.728964867686443</v>
      </c>
    </row>
    <row r="1273" spans="3:11" x14ac:dyDescent="0.35">
      <c r="C1273" t="str">
        <f t="shared" ca="1" si="133"/>
        <v>1Q2025</v>
      </c>
      <c r="D1273" vm="2527">
        <f ca="1"/>
        <v>45792</v>
      </c>
      <c r="E1273" vm="2528">
        <f ca="1"/>
        <v>134.83000000000001</v>
      </c>
      <c r="F1273" s="3">
        <f t="shared" ca="1" si="134"/>
        <v>0.76978269782697828</v>
      </c>
      <c r="G1273" s="3">
        <f t="shared" ca="1" si="135"/>
        <v>3.4374743747437475</v>
      </c>
      <c r="H1273" s="3">
        <f t="shared" ca="1" si="136"/>
        <v>1.806560065600656</v>
      </c>
      <c r="I1273" s="3">
        <f t="shared" ca="1" si="137"/>
        <v>43.788331557922774</v>
      </c>
      <c r="J1273" s="3">
        <f t="shared" ca="1" si="138"/>
        <v>9.8058912810114514</v>
      </c>
      <c r="K1273" s="3">
        <f t="shared" ca="1" si="139"/>
        <v>18.658388747673733</v>
      </c>
    </row>
    <row r="1274" spans="3:11" x14ac:dyDescent="0.35">
      <c r="C1274" t="str">
        <f t="shared" ca="1" si="133"/>
        <v>1Q2025</v>
      </c>
      <c r="D1274" vm="2529">
        <f ca="1"/>
        <v>45793</v>
      </c>
      <c r="E1274" vm="2269">
        <f ca="1"/>
        <v>135.4</v>
      </c>
      <c r="F1274" s="3">
        <f t="shared" ca="1" si="134"/>
        <v>0.76978269782697828</v>
      </c>
      <c r="G1274" s="3">
        <f t="shared" ca="1" si="135"/>
        <v>3.4374743747437475</v>
      </c>
      <c r="H1274" s="3">
        <f t="shared" ca="1" si="136"/>
        <v>1.806560065600656</v>
      </c>
      <c r="I1274" s="3">
        <f t="shared" ca="1" si="137"/>
        <v>43.973448735019971</v>
      </c>
      <c r="J1274" s="3">
        <f t="shared" ca="1" si="138"/>
        <v>9.8473461354961831</v>
      </c>
      <c r="K1274" s="3">
        <f t="shared" ca="1" si="139"/>
        <v>18.737267940629113</v>
      </c>
    </row>
    <row r="1275" spans="3:11" x14ac:dyDescent="0.35">
      <c r="C1275" t="str">
        <f t="shared" ca="1" si="133"/>
        <v>1Q2025</v>
      </c>
      <c r="D1275" vm="2530">
        <f ca="1"/>
        <v>45796</v>
      </c>
      <c r="E1275" vm="2531">
        <f ca="1"/>
        <v>135.57</v>
      </c>
      <c r="F1275" s="3">
        <f t="shared" ca="1" si="134"/>
        <v>0.76978269782697828</v>
      </c>
      <c r="G1275" s="3">
        <f t="shared" ca="1" si="135"/>
        <v>3.4374743747437475</v>
      </c>
      <c r="H1275" s="3">
        <f t="shared" ca="1" si="136"/>
        <v>1.806560065600656</v>
      </c>
      <c r="I1275" s="3">
        <f t="shared" ca="1" si="137"/>
        <v>44.028659121171771</v>
      </c>
      <c r="J1275" s="3">
        <f t="shared" ca="1" si="138"/>
        <v>9.8597098640267173</v>
      </c>
      <c r="K1275" s="3">
        <f t="shared" ca="1" si="139"/>
        <v>18.760793313966683</v>
      </c>
    </row>
    <row r="1276" spans="3:11" x14ac:dyDescent="0.35">
      <c r="C1276" t="str">
        <f t="shared" ca="1" si="133"/>
        <v>1Q2025</v>
      </c>
      <c r="D1276" vm="2532">
        <f ca="1"/>
        <v>45797</v>
      </c>
      <c r="E1276" vm="2533">
        <f ca="1"/>
        <v>134.38</v>
      </c>
      <c r="F1276" s="3">
        <f t="shared" ca="1" si="134"/>
        <v>0.76978269782697828</v>
      </c>
      <c r="G1276" s="3">
        <f t="shared" ca="1" si="135"/>
        <v>3.4374743747437475</v>
      </c>
      <c r="H1276" s="3">
        <f t="shared" ca="1" si="136"/>
        <v>1.806560065600656</v>
      </c>
      <c r="I1276" s="3">
        <f t="shared" ca="1" si="137"/>
        <v>43.642186418109183</v>
      </c>
      <c r="J1276" s="3">
        <f t="shared" ca="1" si="138"/>
        <v>9.7731637643129758</v>
      </c>
      <c r="K1276" s="3">
        <f t="shared" ca="1" si="139"/>
        <v>18.596115700603693</v>
      </c>
    </row>
    <row r="1277" spans="3:11" x14ac:dyDescent="0.35">
      <c r="C1277" t="str">
        <f t="shared" ca="1" si="133"/>
        <v>1Q2025</v>
      </c>
      <c r="D1277" vm="2534">
        <f ca="1"/>
        <v>45798</v>
      </c>
      <c r="E1277" vm="2535">
        <f ca="1"/>
        <v>131.80000000000001</v>
      </c>
      <c r="F1277" s="3">
        <f t="shared" ca="1" si="134"/>
        <v>0.76978269782697828</v>
      </c>
      <c r="G1277" s="3">
        <f t="shared" ca="1" si="135"/>
        <v>3.4374743747437475</v>
      </c>
      <c r="H1277" s="3">
        <f t="shared" ca="1" si="136"/>
        <v>1.806560065600656</v>
      </c>
      <c r="I1277" s="3">
        <f t="shared" ca="1" si="137"/>
        <v>42.804287616511324</v>
      </c>
      <c r="J1277" s="3">
        <f t="shared" ca="1" si="138"/>
        <v>9.5855260019083968</v>
      </c>
      <c r="K1277" s="3">
        <f t="shared" ca="1" si="139"/>
        <v>18.239083564068814</v>
      </c>
    </row>
    <row r="1278" spans="3:11" x14ac:dyDescent="0.35">
      <c r="C1278" t="str">
        <f t="shared" ca="1" si="133"/>
        <v>1Q2025</v>
      </c>
      <c r="D1278" vm="2536">
        <f ca="1"/>
        <v>45799</v>
      </c>
      <c r="E1278" vm="2537">
        <f ca="1"/>
        <v>132.83000000000001</v>
      </c>
      <c r="F1278" s="3">
        <f t="shared" ca="1" si="134"/>
        <v>0.76978269782697828</v>
      </c>
      <c r="G1278" s="3">
        <f t="shared" ca="1" si="135"/>
        <v>3.4374743747437475</v>
      </c>
      <c r="H1278" s="3">
        <f t="shared" ca="1" si="136"/>
        <v>1.806560065600656</v>
      </c>
      <c r="I1278" s="3">
        <f t="shared" ca="1" si="137"/>
        <v>43.138797603195741</v>
      </c>
      <c r="J1278" s="3">
        <f t="shared" ca="1" si="138"/>
        <v>9.6604356512404586</v>
      </c>
      <c r="K1278" s="3">
        <f t="shared" ca="1" si="139"/>
        <v>18.381619649584678</v>
      </c>
    </row>
    <row r="1279" spans="3:11" x14ac:dyDescent="0.35">
      <c r="C1279" t="str">
        <f t="shared" ca="1" si="133"/>
        <v>1Q2025</v>
      </c>
      <c r="D1279" vm="2538">
        <f ca="1"/>
        <v>45800</v>
      </c>
      <c r="E1279" vm="2539">
        <f ca="1"/>
        <v>131.29</v>
      </c>
      <c r="F1279" s="3">
        <f t="shared" ca="1" si="134"/>
        <v>0.76978269782697828</v>
      </c>
      <c r="G1279" s="3">
        <f t="shared" ca="1" si="135"/>
        <v>3.4374743747437475</v>
      </c>
      <c r="H1279" s="3">
        <f t="shared" ca="1" si="136"/>
        <v>1.806560065600656</v>
      </c>
      <c r="I1279" s="3">
        <f t="shared" ca="1" si="137"/>
        <v>42.63865645805592</v>
      </c>
      <c r="J1279" s="3">
        <f t="shared" ca="1" si="138"/>
        <v>9.5484348163167923</v>
      </c>
      <c r="K1279" s="3">
        <f t="shared" ca="1" si="139"/>
        <v>18.168507444056104</v>
      </c>
    </row>
    <row r="1280" spans="3:11" x14ac:dyDescent="0.35">
      <c r="C1280" t="str">
        <f t="shared" ca="1" si="133"/>
        <v>1Q2025</v>
      </c>
      <c r="D1280" vm="2540">
        <f ca="1"/>
        <v>45804</v>
      </c>
      <c r="E1280" vm="2541">
        <f ca="1"/>
        <v>135.5</v>
      </c>
      <c r="F1280" s="3">
        <f t="shared" ca="1" si="134"/>
        <v>0.76978269782697828</v>
      </c>
      <c r="G1280" s="3">
        <f t="shared" ca="1" si="135"/>
        <v>3.4374743747437475</v>
      </c>
      <c r="H1280" s="3">
        <f t="shared" ca="1" si="136"/>
        <v>1.806560065600656</v>
      </c>
      <c r="I1280" s="3">
        <f t="shared" ca="1" si="137"/>
        <v>44.005925432756321</v>
      </c>
      <c r="J1280" s="3">
        <f t="shared" ca="1" si="138"/>
        <v>9.854618916984732</v>
      </c>
      <c r="K1280" s="3">
        <f t="shared" ca="1" si="139"/>
        <v>18.751106395533565</v>
      </c>
    </row>
    <row r="1281" spans="3:11" x14ac:dyDescent="0.35">
      <c r="C1281" t="str">
        <f t="shared" ca="1" si="133"/>
        <v>1Q2025</v>
      </c>
      <c r="D1281" vm="2542">
        <f ca="1"/>
        <v>45805</v>
      </c>
      <c r="E1281" vm="2237">
        <f ca="1"/>
        <v>134.81</v>
      </c>
      <c r="F1281" s="3">
        <f t="shared" ca="1" si="134"/>
        <v>0.76978269782697828</v>
      </c>
      <c r="G1281" s="3">
        <f t="shared" ca="1" si="135"/>
        <v>3.4374743747437475</v>
      </c>
      <c r="H1281" s="3">
        <f t="shared" ca="1" si="136"/>
        <v>1.806560065600656</v>
      </c>
      <c r="I1281" s="3">
        <f t="shared" ca="1" si="137"/>
        <v>43.781836218375503</v>
      </c>
      <c r="J1281" s="3">
        <f t="shared" ca="1" si="138"/>
        <v>9.8044367247137405</v>
      </c>
      <c r="K1281" s="3">
        <f t="shared" ca="1" si="139"/>
        <v>18.655621056692844</v>
      </c>
    </row>
    <row r="1282" spans="3:11" x14ac:dyDescent="0.35">
      <c r="C1282" t="str">
        <f t="shared" ca="1" si="133"/>
        <v>1Q2025</v>
      </c>
      <c r="D1282" vm="2543">
        <f ca="1"/>
        <v>45806</v>
      </c>
      <c r="E1282" vm="2544">
        <f ca="1"/>
        <v>139.19</v>
      </c>
      <c r="F1282" s="3">
        <f t="shared" ca="1" si="134"/>
        <v>0.76978269782697828</v>
      </c>
      <c r="G1282" s="3">
        <f t="shared" ca="1" si="135"/>
        <v>3.4374743747437475</v>
      </c>
      <c r="H1282" s="3">
        <f t="shared" ca="1" si="136"/>
        <v>1.806560065600656</v>
      </c>
      <c r="I1282" s="3">
        <f t="shared" ca="1" si="137"/>
        <v>45.204315579227696</v>
      </c>
      <c r="J1282" s="3">
        <f t="shared" ca="1" si="138"/>
        <v>10.122984553912213</v>
      </c>
      <c r="K1282" s="3">
        <f t="shared" ca="1" si="139"/>
        <v>19.261745381507875</v>
      </c>
    </row>
    <row r="1283" spans="3:11" x14ac:dyDescent="0.35">
      <c r="C1283" t="str">
        <f t="shared" ref="C1283:C1346" ca="1" si="140">LOOKUP(D1283,$N$2:$N$27,$M$2:$M$27)</f>
        <v>1Q2025</v>
      </c>
      <c r="D1283" vm="2545">
        <f ca="1"/>
        <v>45807</v>
      </c>
      <c r="E1283" vm="2546">
        <f ca="1"/>
        <v>135.13</v>
      </c>
      <c r="F1283" s="3">
        <f t="shared" ca="1" si="134"/>
        <v>0.76978269782697828</v>
      </c>
      <c r="G1283" s="3">
        <f t="shared" ca="1" si="135"/>
        <v>3.4374743747437475</v>
      </c>
      <c r="H1283" s="3">
        <f t="shared" ca="1" si="136"/>
        <v>1.806560065600656</v>
      </c>
      <c r="I1283" s="3">
        <f t="shared" ca="1" si="137"/>
        <v>43.885761651131823</v>
      </c>
      <c r="J1283" s="3">
        <f t="shared" ca="1" si="138"/>
        <v>9.8277096254770981</v>
      </c>
      <c r="K1283" s="3">
        <f t="shared" ca="1" si="139"/>
        <v>18.699904112387092</v>
      </c>
    </row>
    <row r="1284" spans="3:11" x14ac:dyDescent="0.35">
      <c r="C1284" t="str">
        <f t="shared" ca="1" si="140"/>
        <v>1Q2025</v>
      </c>
      <c r="D1284" vm="2547">
        <f ca="1"/>
        <v>45810</v>
      </c>
      <c r="E1284" vm="2548">
        <f ca="1"/>
        <v>137.38</v>
      </c>
      <c r="F1284" s="3">
        <f t="shared" ref="F1284:F1347" ca="1" si="141">VLOOKUP($C1284,$M$2:$R$27,4,0)/VLOOKUP($C1284,$M$2:$R$27,3,0)</f>
        <v>0.76978269782697828</v>
      </c>
      <c r="G1284" s="3">
        <f t="shared" ref="G1284:G1347" ca="1" si="142">VLOOKUP($C1284,$M$2:$R$27,6,0)/VLOOKUP($C1284,$M$2:$R$27,3,0)</f>
        <v>3.4374743747437475</v>
      </c>
      <c r="H1284" s="3">
        <f t="shared" ref="H1284:H1347" ca="1" si="143">VLOOKUP($C1284,$M$2:$R$27,5,0)/VLOOKUP($C1284,$M$2:$R$27,3,0)</f>
        <v>1.806560065600656</v>
      </c>
      <c r="I1284" s="3">
        <f t="shared" ref="I1284:I1347" ca="1" si="144">$E1284/(F1284*4)</f>
        <v>44.616487350199733</v>
      </c>
      <c r="J1284" s="3">
        <f t="shared" ref="J1284:J1347" ca="1" si="145">$E1284/(G1284*4)</f>
        <v>9.991347208969465</v>
      </c>
      <c r="K1284" s="3">
        <f t="shared" ref="K1284:K1347" ca="1" si="146">$E1284/(H1284*4)</f>
        <v>19.011269347737279</v>
      </c>
    </row>
    <row r="1285" spans="3:11" x14ac:dyDescent="0.35">
      <c r="C1285" t="str">
        <f t="shared" ca="1" si="140"/>
        <v>1Q2025</v>
      </c>
      <c r="D1285" vm="2549">
        <f ca="1"/>
        <v>45811</v>
      </c>
      <c r="E1285" vm="2550">
        <f ca="1"/>
        <v>141.22</v>
      </c>
      <c r="F1285" s="3">
        <f t="shared" ca="1" si="141"/>
        <v>0.76978269782697828</v>
      </c>
      <c r="G1285" s="3">
        <f t="shared" ca="1" si="142"/>
        <v>3.4374743747437475</v>
      </c>
      <c r="H1285" s="3">
        <f t="shared" ca="1" si="143"/>
        <v>1.806560065600656</v>
      </c>
      <c r="I1285" s="3">
        <f t="shared" ca="1" si="144"/>
        <v>45.86359254327563</v>
      </c>
      <c r="J1285" s="3">
        <f t="shared" ca="1" si="145"/>
        <v>10.270622018129771</v>
      </c>
      <c r="K1285" s="3">
        <f t="shared" ca="1" si="146"/>
        <v>19.542666016068267</v>
      </c>
    </row>
    <row r="1286" spans="3:11" x14ac:dyDescent="0.35">
      <c r="C1286" t="str">
        <f t="shared" ca="1" si="140"/>
        <v>1Q2025</v>
      </c>
      <c r="D1286" vm="2551">
        <f ca="1"/>
        <v>45812</v>
      </c>
      <c r="E1286" vm="2552">
        <f ca="1"/>
        <v>141.91999999999999</v>
      </c>
      <c r="F1286" s="3">
        <f t="shared" ca="1" si="141"/>
        <v>0.76978269782697828</v>
      </c>
      <c r="G1286" s="3">
        <f t="shared" ca="1" si="142"/>
        <v>3.4374743747437475</v>
      </c>
      <c r="H1286" s="3">
        <f t="shared" ca="1" si="143"/>
        <v>1.806560065600656</v>
      </c>
      <c r="I1286" s="3">
        <f t="shared" ca="1" si="144"/>
        <v>46.09092942743009</v>
      </c>
      <c r="J1286" s="3">
        <f t="shared" ca="1" si="145"/>
        <v>10.321531488549617</v>
      </c>
      <c r="K1286" s="3">
        <f t="shared" ca="1" si="146"/>
        <v>19.639535200399436</v>
      </c>
    </row>
    <row r="1287" spans="3:11" x14ac:dyDescent="0.35">
      <c r="C1287" t="str">
        <f t="shared" ca="1" si="140"/>
        <v>1Q2025</v>
      </c>
      <c r="D1287" vm="2553">
        <f ca="1"/>
        <v>45813</v>
      </c>
      <c r="E1287" vm="2554">
        <f ca="1"/>
        <v>139.99</v>
      </c>
      <c r="F1287" s="3">
        <f t="shared" ca="1" si="141"/>
        <v>0.76978269782697828</v>
      </c>
      <c r="G1287" s="3">
        <f t="shared" ca="1" si="142"/>
        <v>3.4374743747437475</v>
      </c>
      <c r="H1287" s="3">
        <f t="shared" ca="1" si="143"/>
        <v>1.806560065600656</v>
      </c>
      <c r="I1287" s="3">
        <f t="shared" ca="1" si="144"/>
        <v>45.464129161118514</v>
      </c>
      <c r="J1287" s="3">
        <f t="shared" ca="1" si="145"/>
        <v>10.181166805820611</v>
      </c>
      <c r="K1287" s="3">
        <f t="shared" ca="1" si="146"/>
        <v>19.3724530207435</v>
      </c>
    </row>
    <row r="1288" spans="3:11" x14ac:dyDescent="0.35">
      <c r="C1288" t="str">
        <f t="shared" ca="1" si="140"/>
        <v>1Q2025</v>
      </c>
      <c r="D1288" vm="2555">
        <f ca="1"/>
        <v>45814</v>
      </c>
      <c r="E1288" vm="2556">
        <f ca="1"/>
        <v>141.72</v>
      </c>
      <c r="F1288" s="3">
        <f t="shared" ca="1" si="141"/>
        <v>0.76978269782697828</v>
      </c>
      <c r="G1288" s="3">
        <f t="shared" ca="1" si="142"/>
        <v>3.4374743747437475</v>
      </c>
      <c r="H1288" s="3">
        <f t="shared" ca="1" si="143"/>
        <v>1.806560065600656</v>
      </c>
      <c r="I1288" s="3">
        <f t="shared" ca="1" si="144"/>
        <v>46.025976031957391</v>
      </c>
      <c r="J1288" s="3">
        <f t="shared" ca="1" si="145"/>
        <v>10.306985925572519</v>
      </c>
      <c r="K1288" s="3">
        <f t="shared" ca="1" si="146"/>
        <v>19.611858290590533</v>
      </c>
    </row>
    <row r="1289" spans="3:11" x14ac:dyDescent="0.35">
      <c r="C1289" t="str">
        <f t="shared" ca="1" si="140"/>
        <v>1Q2025</v>
      </c>
      <c r="D1289" vm="2557">
        <f ca="1"/>
        <v>45817</v>
      </c>
      <c r="E1289" vm="2558">
        <f ca="1"/>
        <v>142.63</v>
      </c>
      <c r="F1289" s="3">
        <f t="shared" ca="1" si="141"/>
        <v>0.76978269782697828</v>
      </c>
      <c r="G1289" s="3">
        <f t="shared" ca="1" si="142"/>
        <v>3.4374743747437475</v>
      </c>
      <c r="H1289" s="3">
        <f t="shared" ca="1" si="143"/>
        <v>1.806560065600656</v>
      </c>
      <c r="I1289" s="3">
        <f t="shared" ca="1" si="144"/>
        <v>46.321513981358187</v>
      </c>
      <c r="J1289" s="3">
        <f t="shared" ca="1" si="145"/>
        <v>10.373168237118319</v>
      </c>
      <c r="K1289" s="3">
        <f t="shared" ca="1" si="146"/>
        <v>19.737788230221053</v>
      </c>
    </row>
    <row r="1290" spans="3:11" x14ac:dyDescent="0.35">
      <c r="C1290" t="str">
        <f t="shared" ca="1" si="140"/>
        <v>1Q2025</v>
      </c>
      <c r="D1290" vm="2559">
        <f ca="1"/>
        <v>45818</v>
      </c>
      <c r="E1290" vm="2560">
        <f ca="1"/>
        <v>143.96</v>
      </c>
      <c r="F1290" s="3">
        <f t="shared" ca="1" si="141"/>
        <v>0.76978269782697828</v>
      </c>
      <c r="G1290" s="3">
        <f t="shared" ca="1" si="142"/>
        <v>3.4374743747437475</v>
      </c>
      <c r="H1290" s="3">
        <f t="shared" ca="1" si="143"/>
        <v>1.806560065600656</v>
      </c>
      <c r="I1290" s="3">
        <f t="shared" ca="1" si="144"/>
        <v>46.753454061251666</v>
      </c>
      <c r="J1290" s="3">
        <f t="shared" ca="1" si="145"/>
        <v>10.469896230916031</v>
      </c>
      <c r="K1290" s="3">
        <f t="shared" ca="1" si="146"/>
        <v>19.921839680450276</v>
      </c>
    </row>
    <row r="1291" spans="3:11" x14ac:dyDescent="0.35">
      <c r="C1291" t="str">
        <f t="shared" ca="1" si="140"/>
        <v>1Q2025</v>
      </c>
      <c r="D1291" vm="2561">
        <f ca="1"/>
        <v>45819</v>
      </c>
      <c r="E1291" vm="2562">
        <f ca="1"/>
        <v>142.83000000000001</v>
      </c>
      <c r="F1291" s="3">
        <f t="shared" ca="1" si="141"/>
        <v>0.76978269782697828</v>
      </c>
      <c r="G1291" s="3">
        <f t="shared" ca="1" si="142"/>
        <v>3.4374743747437475</v>
      </c>
      <c r="H1291" s="3">
        <f t="shared" ca="1" si="143"/>
        <v>1.806560065600656</v>
      </c>
      <c r="I1291" s="3">
        <f t="shared" ca="1" si="144"/>
        <v>46.386467376830893</v>
      </c>
      <c r="J1291" s="3">
        <f t="shared" ca="1" si="145"/>
        <v>10.387713800095421</v>
      </c>
      <c r="K1291" s="3">
        <f t="shared" ca="1" si="146"/>
        <v>19.76546514002996</v>
      </c>
    </row>
    <row r="1292" spans="3:11" x14ac:dyDescent="0.35">
      <c r="C1292" t="str">
        <f t="shared" ca="1" si="140"/>
        <v>1Q2025</v>
      </c>
      <c r="D1292" vm="2563">
        <f ca="1"/>
        <v>45820</v>
      </c>
      <c r="E1292" vm="2564">
        <f ca="1"/>
        <v>145</v>
      </c>
      <c r="F1292" s="3">
        <f t="shared" ca="1" si="141"/>
        <v>0.76978269782697828</v>
      </c>
      <c r="G1292" s="3">
        <f t="shared" ca="1" si="142"/>
        <v>3.4374743747437475</v>
      </c>
      <c r="H1292" s="3">
        <f t="shared" ca="1" si="143"/>
        <v>1.806560065600656</v>
      </c>
      <c r="I1292" s="3">
        <f t="shared" ca="1" si="144"/>
        <v>47.091211717709719</v>
      </c>
      <c r="J1292" s="3">
        <f t="shared" ca="1" si="145"/>
        <v>10.545533158396946</v>
      </c>
      <c r="K1292" s="3">
        <f t="shared" ca="1" si="146"/>
        <v>20.065759611456585</v>
      </c>
    </row>
    <row r="1293" spans="3:11" x14ac:dyDescent="0.35">
      <c r="C1293" t="str">
        <f t="shared" ca="1" si="140"/>
        <v>1Q2025</v>
      </c>
      <c r="D1293" vm="2565">
        <f ca="1"/>
        <v>45821</v>
      </c>
      <c r="E1293" vm="2566">
        <f ca="1"/>
        <v>141.97</v>
      </c>
      <c r="F1293" s="3">
        <f t="shared" ca="1" si="141"/>
        <v>0.76978269782697828</v>
      </c>
      <c r="G1293" s="3">
        <f t="shared" ca="1" si="142"/>
        <v>3.4374743747437475</v>
      </c>
      <c r="H1293" s="3">
        <f t="shared" ca="1" si="143"/>
        <v>1.806560065600656</v>
      </c>
      <c r="I1293" s="3">
        <f t="shared" ca="1" si="144"/>
        <v>46.107167776298269</v>
      </c>
      <c r="J1293" s="3">
        <f t="shared" ca="1" si="145"/>
        <v>10.325167879293893</v>
      </c>
      <c r="K1293" s="3">
        <f t="shared" ca="1" si="146"/>
        <v>19.646454427851666</v>
      </c>
    </row>
    <row r="1294" spans="3:11" x14ac:dyDescent="0.35">
      <c r="C1294" t="str">
        <f t="shared" ca="1" si="140"/>
        <v>1Q2025</v>
      </c>
      <c r="D1294" vm="2567">
        <f ca="1"/>
        <v>45824</v>
      </c>
      <c r="E1294" vm="2568">
        <f ca="1"/>
        <v>144.69</v>
      </c>
      <c r="F1294" s="3">
        <f t="shared" ca="1" si="141"/>
        <v>0.76978269782697828</v>
      </c>
      <c r="G1294" s="3">
        <f t="shared" ca="1" si="142"/>
        <v>3.4374743747437475</v>
      </c>
      <c r="H1294" s="3">
        <f t="shared" ca="1" si="143"/>
        <v>1.806560065600656</v>
      </c>
      <c r="I1294" s="3">
        <f t="shared" ca="1" si="144"/>
        <v>46.990533954727027</v>
      </c>
      <c r="J1294" s="3">
        <f t="shared" ca="1" si="145"/>
        <v>10.522987535782443</v>
      </c>
      <c r="K1294" s="3">
        <f t="shared" ca="1" si="146"/>
        <v>20.022860401252782</v>
      </c>
    </row>
    <row r="1295" spans="3:11" x14ac:dyDescent="0.35">
      <c r="C1295" t="str">
        <f t="shared" ca="1" si="140"/>
        <v>1Q2025</v>
      </c>
      <c r="D1295" vm="2569">
        <f ca="1"/>
        <v>45825</v>
      </c>
      <c r="E1295" vm="2570">
        <f ca="1"/>
        <v>144.12</v>
      </c>
      <c r="F1295" s="3">
        <f t="shared" ca="1" si="141"/>
        <v>0.76978269782697828</v>
      </c>
      <c r="G1295" s="3">
        <f t="shared" ca="1" si="142"/>
        <v>3.4374743747437475</v>
      </c>
      <c r="H1295" s="3">
        <f t="shared" ca="1" si="143"/>
        <v>1.806560065600656</v>
      </c>
      <c r="I1295" s="3">
        <f t="shared" ca="1" si="144"/>
        <v>46.80541677762983</v>
      </c>
      <c r="J1295" s="3">
        <f t="shared" ca="1" si="145"/>
        <v>10.481532681297709</v>
      </c>
      <c r="K1295" s="3">
        <f t="shared" ca="1" si="146"/>
        <v>19.943981208297402</v>
      </c>
    </row>
    <row r="1296" spans="3:11" x14ac:dyDescent="0.35">
      <c r="C1296" t="str">
        <f t="shared" ca="1" si="140"/>
        <v>1Q2025</v>
      </c>
      <c r="D1296" vm="2571">
        <f ca="1"/>
        <v>45826</v>
      </c>
      <c r="E1296" vm="2572">
        <f ca="1"/>
        <v>145.47999999999999</v>
      </c>
      <c r="F1296" s="3">
        <f t="shared" ca="1" si="141"/>
        <v>0.76978269782697828</v>
      </c>
      <c r="G1296" s="3">
        <f t="shared" ca="1" si="142"/>
        <v>3.4374743747437475</v>
      </c>
      <c r="H1296" s="3">
        <f t="shared" ca="1" si="143"/>
        <v>1.806560065600656</v>
      </c>
      <c r="I1296" s="3">
        <f t="shared" ca="1" si="144"/>
        <v>47.247099866844202</v>
      </c>
      <c r="J1296" s="3">
        <f t="shared" ca="1" si="145"/>
        <v>10.580442509541983</v>
      </c>
      <c r="K1296" s="3">
        <f t="shared" ca="1" si="146"/>
        <v>20.132184194997958</v>
      </c>
    </row>
    <row r="1297" spans="3:11" x14ac:dyDescent="0.35">
      <c r="C1297" t="str">
        <f t="shared" ca="1" si="140"/>
        <v>1Q2025</v>
      </c>
      <c r="D1297" vm="2573">
        <f ca="1"/>
        <v>45828</v>
      </c>
      <c r="E1297" vm="2574">
        <f ca="1"/>
        <v>143.85</v>
      </c>
      <c r="F1297" s="3">
        <f t="shared" ca="1" si="141"/>
        <v>0.76978269782697828</v>
      </c>
      <c r="G1297" s="3">
        <f t="shared" ca="1" si="142"/>
        <v>3.4374743747437475</v>
      </c>
      <c r="H1297" s="3">
        <f t="shared" ca="1" si="143"/>
        <v>1.806560065600656</v>
      </c>
      <c r="I1297" s="3">
        <f t="shared" ca="1" si="144"/>
        <v>46.717729693741674</v>
      </c>
      <c r="J1297" s="3">
        <f t="shared" ca="1" si="145"/>
        <v>10.461896171278624</v>
      </c>
      <c r="K1297" s="3">
        <f t="shared" ca="1" si="146"/>
        <v>19.906617380055376</v>
      </c>
    </row>
    <row r="1298" spans="3:11" x14ac:dyDescent="0.35">
      <c r="C1298" t="str">
        <f t="shared" ca="1" si="140"/>
        <v>1Q2025</v>
      </c>
      <c r="D1298" vm="2575">
        <f ca="1"/>
        <v>45831</v>
      </c>
      <c r="E1298" vm="2576">
        <f ca="1"/>
        <v>144.16999999999999</v>
      </c>
      <c r="F1298" s="3">
        <f t="shared" ca="1" si="141"/>
        <v>0.76978269782697828</v>
      </c>
      <c r="G1298" s="3">
        <f t="shared" ca="1" si="142"/>
        <v>3.4374743747437475</v>
      </c>
      <c r="H1298" s="3">
        <f t="shared" ca="1" si="143"/>
        <v>1.806560065600656</v>
      </c>
      <c r="I1298" s="3">
        <f t="shared" ca="1" si="144"/>
        <v>46.821655126498001</v>
      </c>
      <c r="J1298" s="3">
        <f t="shared" ca="1" si="145"/>
        <v>10.485169072041984</v>
      </c>
      <c r="K1298" s="3">
        <f t="shared" ca="1" si="146"/>
        <v>19.950900435749624</v>
      </c>
    </row>
    <row r="1299" spans="3:11" x14ac:dyDescent="0.35">
      <c r="C1299" t="str">
        <f t="shared" ca="1" si="140"/>
        <v>1Q2025</v>
      </c>
      <c r="D1299" vm="2577">
        <f ca="1"/>
        <v>45832</v>
      </c>
      <c r="E1299" vm="2578">
        <f ca="1"/>
        <v>147.9</v>
      </c>
      <c r="F1299" s="3">
        <f t="shared" ca="1" si="141"/>
        <v>0.76978269782697828</v>
      </c>
      <c r="G1299" s="3">
        <f t="shared" ca="1" si="142"/>
        <v>3.4374743747437475</v>
      </c>
      <c r="H1299" s="3">
        <f t="shared" ca="1" si="143"/>
        <v>1.806560065600656</v>
      </c>
      <c r="I1299" s="3">
        <f t="shared" ca="1" si="144"/>
        <v>48.033035952063919</v>
      </c>
      <c r="J1299" s="3">
        <f t="shared" ca="1" si="145"/>
        <v>10.756443821564886</v>
      </c>
      <c r="K1299" s="3">
        <f t="shared" ca="1" si="146"/>
        <v>20.467074803685716</v>
      </c>
    </row>
    <row r="1300" spans="3:11" x14ac:dyDescent="0.35">
      <c r="C1300" t="str">
        <f t="shared" ca="1" si="140"/>
        <v>1Q2025</v>
      </c>
      <c r="D1300" vm="2579">
        <f ca="1"/>
        <v>45833</v>
      </c>
      <c r="E1300" vm="2580">
        <f ca="1"/>
        <v>154.31</v>
      </c>
      <c r="F1300" s="3">
        <f t="shared" ca="1" si="141"/>
        <v>0.76978269782697828</v>
      </c>
      <c r="G1300" s="3">
        <f t="shared" ca="1" si="142"/>
        <v>3.4374743747437475</v>
      </c>
      <c r="H1300" s="3">
        <f t="shared" ca="1" si="143"/>
        <v>1.806560065600656</v>
      </c>
      <c r="I1300" s="3">
        <f t="shared" ca="1" si="144"/>
        <v>50.114792276964046</v>
      </c>
      <c r="J1300" s="3">
        <f t="shared" ca="1" si="145"/>
        <v>11.222629114980917</v>
      </c>
      <c r="K1300" s="3">
        <f t="shared" ca="1" si="146"/>
        <v>21.354119763061142</v>
      </c>
    </row>
    <row r="1301" spans="3:11" x14ac:dyDescent="0.35">
      <c r="C1301" t="str">
        <f t="shared" ca="1" si="140"/>
        <v>1Q2025</v>
      </c>
      <c r="D1301" vm="2581">
        <f ca="1"/>
        <v>45834</v>
      </c>
      <c r="E1301" vm="2582">
        <f ca="1"/>
        <v>155.02000000000001</v>
      </c>
      <c r="F1301" s="3">
        <f t="shared" ca="1" si="141"/>
        <v>0.76978269782697828</v>
      </c>
      <c r="G1301" s="3">
        <f t="shared" ca="1" si="142"/>
        <v>3.4374743747437475</v>
      </c>
      <c r="H1301" s="3">
        <f t="shared" ca="1" si="143"/>
        <v>1.806560065600656</v>
      </c>
      <c r="I1301" s="3">
        <f t="shared" ca="1" si="144"/>
        <v>50.34537683089215</v>
      </c>
      <c r="J1301" s="3">
        <f t="shared" ca="1" si="145"/>
        <v>11.274265863549619</v>
      </c>
      <c r="K1301" s="3">
        <f t="shared" ca="1" si="146"/>
        <v>21.452372792882759</v>
      </c>
    </row>
    <row r="1302" spans="3:11" x14ac:dyDescent="0.35">
      <c r="C1302" t="str">
        <f t="shared" ca="1" si="140"/>
        <v>1Q2025</v>
      </c>
      <c r="D1302" vm="2583">
        <f ca="1"/>
        <v>45835</v>
      </c>
      <c r="E1302" vm="2584">
        <f ca="1"/>
        <v>157.75</v>
      </c>
      <c r="F1302" s="3">
        <f t="shared" ca="1" si="141"/>
        <v>0.76978269782697828</v>
      </c>
      <c r="G1302" s="3">
        <f t="shared" ca="1" si="142"/>
        <v>3.4374743747437475</v>
      </c>
      <c r="H1302" s="3">
        <f t="shared" ca="1" si="143"/>
        <v>1.806560065600656</v>
      </c>
      <c r="I1302" s="3">
        <f t="shared" ca="1" si="144"/>
        <v>51.231990679094537</v>
      </c>
      <c r="J1302" s="3">
        <f t="shared" ca="1" si="145"/>
        <v>11.472812798187023</v>
      </c>
      <c r="K1302" s="3">
        <f t="shared" ca="1" si="146"/>
        <v>21.83016261177432</v>
      </c>
    </row>
    <row r="1303" spans="3:11" x14ac:dyDescent="0.35">
      <c r="C1303" t="str">
        <f t="shared" ca="1" si="140"/>
        <v>1Q2025</v>
      </c>
      <c r="D1303" vm="2585">
        <f ca="1"/>
        <v>45838</v>
      </c>
      <c r="E1303" vm="2586">
        <f ca="1"/>
        <v>157.99</v>
      </c>
      <c r="F1303" s="3">
        <f t="shared" ca="1" si="141"/>
        <v>0.76978269782697828</v>
      </c>
      <c r="G1303" s="3">
        <f t="shared" ca="1" si="142"/>
        <v>3.4374743747437475</v>
      </c>
      <c r="H1303" s="3">
        <f t="shared" ca="1" si="143"/>
        <v>1.806560065600656</v>
      </c>
      <c r="I1303" s="3">
        <f t="shared" ca="1" si="144"/>
        <v>51.309934753661786</v>
      </c>
      <c r="J1303" s="3">
        <f t="shared" ca="1" si="145"/>
        <v>11.490267473759543</v>
      </c>
      <c r="K1303" s="3">
        <f t="shared" ca="1" si="146"/>
        <v>21.863374903545008</v>
      </c>
    </row>
    <row r="1304" spans="3:11" x14ac:dyDescent="0.35">
      <c r="C1304" t="str">
        <f t="shared" ca="1" si="140"/>
        <v>1Q2025</v>
      </c>
      <c r="D1304" vm="2587">
        <f ca="1"/>
        <v>45839</v>
      </c>
      <c r="E1304" vm="2588">
        <f ca="1"/>
        <v>153.30000000000001</v>
      </c>
      <c r="F1304" s="3">
        <f t="shared" ca="1" si="141"/>
        <v>0.76978269782697828</v>
      </c>
      <c r="G1304" s="3">
        <f t="shared" ca="1" si="142"/>
        <v>3.4374743747437475</v>
      </c>
      <c r="H1304" s="3">
        <f t="shared" ca="1" si="143"/>
        <v>1.806560065600656</v>
      </c>
      <c r="I1304" s="3">
        <f t="shared" ca="1" si="144"/>
        <v>49.786777629826901</v>
      </c>
      <c r="J1304" s="3">
        <f t="shared" ca="1" si="145"/>
        <v>11.149174021946566</v>
      </c>
      <c r="K1304" s="3">
        <f t="shared" ca="1" si="146"/>
        <v>21.21435136852617</v>
      </c>
    </row>
    <row r="1305" spans="3:11" x14ac:dyDescent="0.35">
      <c r="C1305" t="str">
        <f t="shared" ca="1" si="140"/>
        <v>1Q2025</v>
      </c>
      <c r="D1305" vm="2589">
        <f ca="1"/>
        <v>45840</v>
      </c>
      <c r="E1305" vm="2590">
        <f ca="1"/>
        <v>157.25</v>
      </c>
      <c r="F1305" s="3">
        <f t="shared" ca="1" si="141"/>
        <v>0.76978269782697828</v>
      </c>
      <c r="G1305" s="3">
        <f t="shared" ca="1" si="142"/>
        <v>3.4374743747437475</v>
      </c>
      <c r="H1305" s="3">
        <f t="shared" ca="1" si="143"/>
        <v>1.806560065600656</v>
      </c>
      <c r="I1305" s="3">
        <f t="shared" ca="1" si="144"/>
        <v>51.069607190412782</v>
      </c>
      <c r="J1305" s="3">
        <f t="shared" ca="1" si="145"/>
        <v>11.436448890744275</v>
      </c>
      <c r="K1305" s="3">
        <f t="shared" ca="1" si="146"/>
        <v>21.760970337252054</v>
      </c>
    </row>
    <row r="1306" spans="3:11" x14ac:dyDescent="0.35">
      <c r="C1306" t="str">
        <f t="shared" ca="1" si="140"/>
        <v>1Q2025</v>
      </c>
      <c r="D1306" vm="2591">
        <f ca="1"/>
        <v>45841</v>
      </c>
      <c r="E1306" vm="2592">
        <f ca="1"/>
        <v>159.34</v>
      </c>
      <c r="F1306" s="3">
        <f t="shared" ca="1" si="141"/>
        <v>0.76978269782697828</v>
      </c>
      <c r="G1306" s="3">
        <f t="shared" ca="1" si="142"/>
        <v>3.4374743747437475</v>
      </c>
      <c r="H1306" s="3">
        <f t="shared" ca="1" si="143"/>
        <v>1.806560065600656</v>
      </c>
      <c r="I1306" s="3">
        <f t="shared" ca="1" si="144"/>
        <v>51.748370173102529</v>
      </c>
      <c r="J1306" s="3">
        <f t="shared" ca="1" si="145"/>
        <v>11.588450023854962</v>
      </c>
      <c r="K1306" s="3">
        <f t="shared" ca="1" si="146"/>
        <v>22.05019404475512</v>
      </c>
    </row>
    <row r="1307" spans="3:11" x14ac:dyDescent="0.35">
      <c r="C1307" t="str">
        <f t="shared" ca="1" si="140"/>
        <v>1Q2025</v>
      </c>
      <c r="D1307" vm="2593">
        <f ca="1"/>
        <v>45845</v>
      </c>
      <c r="E1307" vm="2594">
        <f ca="1"/>
        <v>158.24</v>
      </c>
      <c r="F1307" s="3">
        <f t="shared" ca="1" si="141"/>
        <v>0.76978269782697828</v>
      </c>
      <c r="G1307" s="3">
        <f t="shared" ca="1" si="142"/>
        <v>3.4374743747437475</v>
      </c>
      <c r="H1307" s="3">
        <f t="shared" ca="1" si="143"/>
        <v>1.806560065600656</v>
      </c>
      <c r="I1307" s="3">
        <f t="shared" ca="1" si="144"/>
        <v>51.391126498002663</v>
      </c>
      <c r="J1307" s="3">
        <f t="shared" ca="1" si="145"/>
        <v>11.508449427480917</v>
      </c>
      <c r="K1307" s="3">
        <f t="shared" ca="1" si="146"/>
        <v>21.897971040806137</v>
      </c>
    </row>
    <row r="1308" spans="3:11" x14ac:dyDescent="0.35">
      <c r="C1308" t="str">
        <f t="shared" ca="1" si="140"/>
        <v>1Q2025</v>
      </c>
      <c r="D1308" vm="2595">
        <f ca="1"/>
        <v>45846</v>
      </c>
      <c r="E1308" vm="2596">
        <f ca="1"/>
        <v>160</v>
      </c>
      <c r="F1308" s="3">
        <f t="shared" ca="1" si="141"/>
        <v>0.76978269782697828</v>
      </c>
      <c r="G1308" s="3">
        <f t="shared" ca="1" si="142"/>
        <v>3.4374743747437475</v>
      </c>
      <c r="H1308" s="3">
        <f t="shared" ca="1" si="143"/>
        <v>1.806560065600656</v>
      </c>
      <c r="I1308" s="3">
        <f t="shared" ca="1" si="144"/>
        <v>51.962716378162447</v>
      </c>
      <c r="J1308" s="3">
        <f t="shared" ca="1" si="145"/>
        <v>11.636450381679388</v>
      </c>
      <c r="K1308" s="3">
        <f t="shared" ca="1" si="146"/>
        <v>22.141527847124507</v>
      </c>
    </row>
    <row r="1309" spans="3:11" x14ac:dyDescent="0.35">
      <c r="C1309" t="str">
        <f t="shared" ca="1" si="140"/>
        <v>1Q2025</v>
      </c>
      <c r="D1309" vm="2597">
        <f ca="1"/>
        <v>45847</v>
      </c>
      <c r="E1309" vm="2598">
        <f ca="1"/>
        <v>162.88</v>
      </c>
      <c r="F1309" s="3">
        <f t="shared" ca="1" si="141"/>
        <v>0.76978269782697828</v>
      </c>
      <c r="G1309" s="3">
        <f t="shared" ca="1" si="142"/>
        <v>3.4374743747437475</v>
      </c>
      <c r="H1309" s="3">
        <f t="shared" ca="1" si="143"/>
        <v>1.806560065600656</v>
      </c>
      <c r="I1309" s="3">
        <f t="shared" ca="1" si="144"/>
        <v>52.89804527296937</v>
      </c>
      <c r="J1309" s="3">
        <f t="shared" ca="1" si="145"/>
        <v>11.845906488549618</v>
      </c>
      <c r="K1309" s="3">
        <f t="shared" ca="1" si="146"/>
        <v>22.540075348372749</v>
      </c>
    </row>
    <row r="1310" spans="3:11" x14ac:dyDescent="0.35">
      <c r="C1310" t="str">
        <f t="shared" ca="1" si="140"/>
        <v>1Q2025</v>
      </c>
      <c r="D1310" vm="2599">
        <f ca="1"/>
        <v>45848</v>
      </c>
      <c r="E1310" vm="2600">
        <f ca="1"/>
        <v>164.1</v>
      </c>
      <c r="F1310" s="3">
        <f t="shared" ca="1" si="141"/>
        <v>0.76978269782697828</v>
      </c>
      <c r="G1310" s="3">
        <f t="shared" ca="1" si="142"/>
        <v>3.4374743747437475</v>
      </c>
      <c r="H1310" s="3">
        <f t="shared" ca="1" si="143"/>
        <v>1.806560065600656</v>
      </c>
      <c r="I1310" s="3">
        <f t="shared" ca="1" si="144"/>
        <v>53.294260985352864</v>
      </c>
      <c r="J1310" s="3">
        <f t="shared" ca="1" si="145"/>
        <v>11.934634422709923</v>
      </c>
      <c r="K1310" s="3">
        <f t="shared" ca="1" si="146"/>
        <v>22.708904498207072</v>
      </c>
    </row>
    <row r="1311" spans="3:11" x14ac:dyDescent="0.35">
      <c r="C1311" t="str">
        <f t="shared" ca="1" si="140"/>
        <v>1Q2025</v>
      </c>
      <c r="D1311" vm="2601">
        <f ca="1"/>
        <v>45849</v>
      </c>
      <c r="E1311" vm="2602">
        <f ca="1"/>
        <v>164.92</v>
      </c>
      <c r="F1311" s="3">
        <f t="shared" ca="1" si="141"/>
        <v>0.76978269782697828</v>
      </c>
      <c r="G1311" s="3">
        <f t="shared" ca="1" si="142"/>
        <v>3.4374743747437475</v>
      </c>
      <c r="H1311" s="3">
        <f t="shared" ca="1" si="143"/>
        <v>1.806560065600656</v>
      </c>
      <c r="I1311" s="3">
        <f t="shared" ca="1" si="144"/>
        <v>53.560569906790938</v>
      </c>
      <c r="J1311" s="3">
        <f t="shared" ca="1" si="145"/>
        <v>11.994271230916029</v>
      </c>
      <c r="K1311" s="3">
        <f t="shared" ca="1" si="146"/>
        <v>22.822379828423585</v>
      </c>
    </row>
    <row r="1312" spans="3:11" x14ac:dyDescent="0.35">
      <c r="C1312" t="str">
        <f t="shared" ca="1" si="140"/>
        <v>1Q2025</v>
      </c>
      <c r="D1312" vm="2603">
        <f ca="1"/>
        <v>45852</v>
      </c>
      <c r="E1312" vm="2604">
        <f ca="1"/>
        <v>164.07</v>
      </c>
      <c r="F1312" s="3">
        <f t="shared" ca="1" si="141"/>
        <v>0.76978269782697828</v>
      </c>
      <c r="G1312" s="3">
        <f t="shared" ca="1" si="142"/>
        <v>3.4374743747437475</v>
      </c>
      <c r="H1312" s="3">
        <f t="shared" ca="1" si="143"/>
        <v>1.806560065600656</v>
      </c>
      <c r="I1312" s="3">
        <f t="shared" ca="1" si="144"/>
        <v>53.284517976031957</v>
      </c>
      <c r="J1312" s="3">
        <f t="shared" ca="1" si="145"/>
        <v>11.932452588263358</v>
      </c>
      <c r="K1312" s="3">
        <f t="shared" ca="1" si="146"/>
        <v>22.704752961735736</v>
      </c>
    </row>
    <row r="1313" spans="3:11" x14ac:dyDescent="0.35">
      <c r="C1313" t="str">
        <f t="shared" ca="1" si="140"/>
        <v>1Q2025</v>
      </c>
      <c r="D1313" vm="2605">
        <f ca="1"/>
        <v>45853</v>
      </c>
      <c r="E1313" vm="2606">
        <f ca="1"/>
        <v>170.7</v>
      </c>
      <c r="F1313" s="3">
        <f t="shared" ca="1" si="141"/>
        <v>0.76978269782697828</v>
      </c>
      <c r="G1313" s="3">
        <f t="shared" ca="1" si="142"/>
        <v>3.4374743747437475</v>
      </c>
      <c r="H1313" s="3">
        <f t="shared" ca="1" si="143"/>
        <v>1.806560065600656</v>
      </c>
      <c r="I1313" s="3">
        <f t="shared" ca="1" si="144"/>
        <v>55.437723035952061</v>
      </c>
      <c r="J1313" s="3">
        <f t="shared" ca="1" si="145"/>
        <v>12.414638000954197</v>
      </c>
      <c r="K1313" s="3">
        <f t="shared" ca="1" si="146"/>
        <v>23.622242521900958</v>
      </c>
    </row>
    <row r="1314" spans="3:11" x14ac:dyDescent="0.35">
      <c r="C1314" t="str">
        <f t="shared" ca="1" si="140"/>
        <v>1Q2025</v>
      </c>
      <c r="D1314" vm="2607">
        <f ca="1"/>
        <v>45854</v>
      </c>
      <c r="E1314" vm="2608">
        <f ca="1"/>
        <v>171.37</v>
      </c>
      <c r="F1314" s="3">
        <f t="shared" ca="1" si="141"/>
        <v>0.76978269782697828</v>
      </c>
      <c r="G1314" s="3">
        <f t="shared" ca="1" si="142"/>
        <v>3.4374743747437475</v>
      </c>
      <c r="H1314" s="3">
        <f t="shared" ca="1" si="143"/>
        <v>1.806560065600656</v>
      </c>
      <c r="I1314" s="3">
        <f t="shared" ca="1" si="144"/>
        <v>55.655316910785622</v>
      </c>
      <c r="J1314" s="3">
        <f t="shared" ca="1" si="145"/>
        <v>12.463365636927481</v>
      </c>
      <c r="K1314" s="3">
        <f t="shared" ca="1" si="146"/>
        <v>23.714960169760793</v>
      </c>
    </row>
    <row r="1315" spans="3:11" x14ac:dyDescent="0.35">
      <c r="C1315" t="str">
        <f t="shared" ca="1" si="140"/>
        <v>1Q2025</v>
      </c>
      <c r="D1315" vm="2609">
        <f ca="1"/>
        <v>45855</v>
      </c>
      <c r="E1315" vm="2610">
        <f ca="1"/>
        <v>173</v>
      </c>
      <c r="F1315" s="3">
        <f t="shared" ca="1" si="141"/>
        <v>0.76978269782697828</v>
      </c>
      <c r="G1315" s="3">
        <f t="shared" ca="1" si="142"/>
        <v>3.4374743747437475</v>
      </c>
      <c r="H1315" s="3">
        <f t="shared" ca="1" si="143"/>
        <v>1.806560065600656</v>
      </c>
      <c r="I1315" s="3">
        <f t="shared" ca="1" si="144"/>
        <v>56.18468708388815</v>
      </c>
      <c r="J1315" s="3">
        <f t="shared" ca="1" si="145"/>
        <v>12.58191197519084</v>
      </c>
      <c r="K1315" s="3">
        <f t="shared" ca="1" si="146"/>
        <v>23.940526984703371</v>
      </c>
    </row>
    <row r="1316" spans="3:11" x14ac:dyDescent="0.35">
      <c r="C1316" t="str">
        <f t="shared" ca="1" si="140"/>
        <v>1Q2025</v>
      </c>
      <c r="D1316" vm="2611">
        <f ca="1"/>
        <v>45856</v>
      </c>
      <c r="E1316" vm="2612">
        <f ca="1"/>
        <v>172.41</v>
      </c>
      <c r="F1316" s="3">
        <f t="shared" ca="1" si="141"/>
        <v>0.76978269782697828</v>
      </c>
      <c r="G1316" s="3">
        <f t="shared" ca="1" si="142"/>
        <v>3.4374743747437475</v>
      </c>
      <c r="H1316" s="3">
        <f t="shared" ca="1" si="143"/>
        <v>1.806560065600656</v>
      </c>
      <c r="I1316" s="3">
        <f t="shared" ca="1" si="144"/>
        <v>55.993074567243674</v>
      </c>
      <c r="J1316" s="3">
        <f t="shared" ca="1" si="145"/>
        <v>12.539002564408396</v>
      </c>
      <c r="K1316" s="3">
        <f t="shared" ca="1" si="146"/>
        <v>23.858880100767102</v>
      </c>
    </row>
    <row r="1317" spans="3:11" x14ac:dyDescent="0.35">
      <c r="C1317" t="str">
        <f t="shared" ca="1" si="140"/>
        <v>1Q2025</v>
      </c>
      <c r="D1317" vm="2613">
        <f ca="1"/>
        <v>45859</v>
      </c>
      <c r="E1317" vm="2614">
        <f ca="1"/>
        <v>171.38</v>
      </c>
      <c r="F1317" s="3">
        <f t="shared" ca="1" si="141"/>
        <v>0.76978269782697828</v>
      </c>
      <c r="G1317" s="3">
        <f t="shared" ca="1" si="142"/>
        <v>3.4374743747437475</v>
      </c>
      <c r="H1317" s="3">
        <f t="shared" ca="1" si="143"/>
        <v>1.806560065600656</v>
      </c>
      <c r="I1317" s="3">
        <f t="shared" ca="1" si="144"/>
        <v>55.658564580559251</v>
      </c>
      <c r="J1317" s="3">
        <f t="shared" ca="1" si="145"/>
        <v>12.464092915076336</v>
      </c>
      <c r="K1317" s="3">
        <f t="shared" ca="1" si="146"/>
        <v>23.716344015251238</v>
      </c>
    </row>
    <row r="1318" spans="3:11" x14ac:dyDescent="0.35">
      <c r="C1318" t="str">
        <f t="shared" ca="1" si="140"/>
        <v>1Q2025</v>
      </c>
      <c r="D1318" vm="2615">
        <f ca="1"/>
        <v>45860</v>
      </c>
      <c r="E1318" vm="2616">
        <f ca="1"/>
        <v>167.03</v>
      </c>
      <c r="F1318" s="3">
        <f t="shared" ca="1" si="141"/>
        <v>0.76978269782697828</v>
      </c>
      <c r="G1318" s="3">
        <f t="shared" ca="1" si="142"/>
        <v>3.4374743747437475</v>
      </c>
      <c r="H1318" s="3">
        <f t="shared" ca="1" si="143"/>
        <v>1.806560065600656</v>
      </c>
      <c r="I1318" s="3">
        <f t="shared" ca="1" si="144"/>
        <v>54.245828229027964</v>
      </c>
      <c r="J1318" s="3">
        <f t="shared" ca="1" si="145"/>
        <v>12.147726920324427</v>
      </c>
      <c r="K1318" s="3">
        <f t="shared" ca="1" si="146"/>
        <v>23.11437122690754</v>
      </c>
    </row>
    <row r="1319" spans="3:11" x14ac:dyDescent="0.35">
      <c r="C1319" t="str">
        <f t="shared" ca="1" si="140"/>
        <v>1Q2025</v>
      </c>
      <c r="D1319" vm="2617">
        <f ca="1"/>
        <v>45861</v>
      </c>
      <c r="E1319" vm="2618">
        <f ca="1"/>
        <v>170.78</v>
      </c>
      <c r="F1319" s="3">
        <f t="shared" ca="1" si="141"/>
        <v>0.76978269782697828</v>
      </c>
      <c r="G1319" s="3">
        <f t="shared" ca="1" si="142"/>
        <v>3.4374743747437475</v>
      </c>
      <c r="H1319" s="3">
        <f t="shared" ca="1" si="143"/>
        <v>1.806560065600656</v>
      </c>
      <c r="I1319" s="3">
        <f t="shared" ca="1" si="144"/>
        <v>55.463704394141146</v>
      </c>
      <c r="J1319" s="3">
        <f t="shared" ca="1" si="145"/>
        <v>12.420456226145038</v>
      </c>
      <c r="K1319" s="3">
        <f t="shared" ca="1" si="146"/>
        <v>23.633313285824521</v>
      </c>
    </row>
    <row r="1320" spans="3:11" x14ac:dyDescent="0.35">
      <c r="C1320" t="str">
        <f t="shared" ca="1" si="140"/>
        <v>1Q2025</v>
      </c>
      <c r="D1320" vm="2619">
        <f ca="1"/>
        <v>45862</v>
      </c>
      <c r="E1320" vm="2620">
        <f ca="1"/>
        <v>173.74</v>
      </c>
      <c r="F1320" s="3">
        <f t="shared" ca="1" si="141"/>
        <v>0.76978269782697828</v>
      </c>
      <c r="G1320" s="3">
        <f t="shared" ca="1" si="142"/>
        <v>3.4374743747437475</v>
      </c>
      <c r="H1320" s="3">
        <f t="shared" ca="1" si="143"/>
        <v>1.806560065600656</v>
      </c>
      <c r="I1320" s="3">
        <f t="shared" ca="1" si="144"/>
        <v>56.425014647137154</v>
      </c>
      <c r="J1320" s="3">
        <f t="shared" ca="1" si="145"/>
        <v>12.635730558206108</v>
      </c>
      <c r="K1320" s="3">
        <f t="shared" ca="1" si="146"/>
        <v>24.042931550996325</v>
      </c>
    </row>
    <row r="1321" spans="3:11" x14ac:dyDescent="0.35">
      <c r="C1321" t="str">
        <f t="shared" ca="1" si="140"/>
        <v>1Q2025</v>
      </c>
      <c r="D1321" vm="2621">
        <f ca="1"/>
        <v>45863</v>
      </c>
      <c r="E1321" vm="2622">
        <f ca="1"/>
        <v>173.5</v>
      </c>
      <c r="F1321" s="3">
        <f t="shared" ca="1" si="141"/>
        <v>0.76978269782697828</v>
      </c>
      <c r="G1321" s="3">
        <f t="shared" ca="1" si="142"/>
        <v>3.4374743747437475</v>
      </c>
      <c r="H1321" s="3">
        <f t="shared" ca="1" si="143"/>
        <v>1.806560065600656</v>
      </c>
      <c r="I1321" s="3">
        <f t="shared" ca="1" si="144"/>
        <v>56.347070572569905</v>
      </c>
      <c r="J1321" s="3">
        <f t="shared" ca="1" si="145"/>
        <v>12.618275882633588</v>
      </c>
      <c r="K1321" s="3">
        <f t="shared" ca="1" si="146"/>
        <v>24.009719259225637</v>
      </c>
    </row>
    <row r="1322" spans="3:11" x14ac:dyDescent="0.35">
      <c r="C1322" t="str">
        <f t="shared" ca="1" si="140"/>
        <v>2Q2025</v>
      </c>
      <c r="D1322" vm="2623">
        <f ca="1"/>
        <v>45866</v>
      </c>
      <c r="E1322" vm="2624">
        <f ca="1"/>
        <v>176.75</v>
      </c>
      <c r="F1322" s="3">
        <f t="shared" ca="1" si="141"/>
        <v>1.0850924024640658</v>
      </c>
      <c r="G1322" s="3">
        <f t="shared" ca="1" si="142"/>
        <v>4.1121149897330591</v>
      </c>
      <c r="H1322" s="3">
        <f t="shared" ca="1" si="143"/>
        <v>1.9196303901437373</v>
      </c>
      <c r="I1322" s="3">
        <f t="shared" ca="1" si="144"/>
        <v>40.722338392248879</v>
      </c>
      <c r="J1322" s="3">
        <f t="shared" ca="1" si="145"/>
        <v>10.74568685708579</v>
      </c>
      <c r="K1322" s="3">
        <f t="shared" ca="1" si="146"/>
        <v>23.018754145005669</v>
      </c>
    </row>
    <row r="1323" spans="3:11" x14ac:dyDescent="0.35">
      <c r="C1323" t="str">
        <f t="shared" ca="1" si="140"/>
        <v>2Q2025</v>
      </c>
      <c r="D1323" vm="2625">
        <f ca="1"/>
        <v>45867</v>
      </c>
      <c r="E1323" vm="2626">
        <f ca="1"/>
        <v>175.51</v>
      </c>
      <c r="F1323" s="3">
        <f t="shared" ca="1" si="141"/>
        <v>1.0850924024640658</v>
      </c>
      <c r="G1323" s="3">
        <f t="shared" ca="1" si="142"/>
        <v>4.1121149897330591</v>
      </c>
      <c r="H1323" s="3">
        <f t="shared" ca="1" si="143"/>
        <v>1.9196303901437373</v>
      </c>
      <c r="I1323" s="3">
        <f t="shared" ca="1" si="144"/>
        <v>40.436648436908634</v>
      </c>
      <c r="J1323" s="3">
        <f t="shared" ca="1" si="145"/>
        <v>10.670299860181764</v>
      </c>
      <c r="K1323" s="3">
        <f t="shared" ca="1" si="146"/>
        <v>22.857264724129813</v>
      </c>
    </row>
    <row r="1324" spans="3:11" x14ac:dyDescent="0.35">
      <c r="C1324" t="str">
        <f t="shared" ca="1" si="140"/>
        <v>2Q2025</v>
      </c>
      <c r="D1324" vm="2627">
        <f ca="1"/>
        <v>45868</v>
      </c>
      <c r="E1324" vm="2628">
        <f ca="1"/>
        <v>179.27</v>
      </c>
      <c r="F1324" s="3">
        <f t="shared" ca="1" si="141"/>
        <v>1.0850924024640658</v>
      </c>
      <c r="G1324" s="3">
        <f t="shared" ca="1" si="142"/>
        <v>4.1121149897330591</v>
      </c>
      <c r="H1324" s="3">
        <f t="shared" ca="1" si="143"/>
        <v>1.9196303901437373</v>
      </c>
      <c r="I1324" s="3">
        <f t="shared" ca="1" si="144"/>
        <v>41.302934107940352</v>
      </c>
      <c r="J1324" s="3">
        <f t="shared" ca="1" si="145"/>
        <v>10.898892689503647</v>
      </c>
      <c r="K1324" s="3">
        <f t="shared" ca="1" si="146"/>
        <v>23.346942322914661</v>
      </c>
    </row>
    <row r="1325" spans="3:11" x14ac:dyDescent="0.35">
      <c r="C1325" t="str">
        <f t="shared" ca="1" si="140"/>
        <v>2Q2025</v>
      </c>
      <c r="D1325" vm="2629">
        <f ca="1"/>
        <v>45869</v>
      </c>
      <c r="E1325" vm="2630">
        <f ca="1"/>
        <v>177.87</v>
      </c>
      <c r="F1325" s="3">
        <f t="shared" ca="1" si="141"/>
        <v>1.0850924024640658</v>
      </c>
      <c r="G1325" s="3">
        <f t="shared" ca="1" si="142"/>
        <v>4.1121149897330591</v>
      </c>
      <c r="H1325" s="3">
        <f t="shared" ca="1" si="143"/>
        <v>1.9196303901437373</v>
      </c>
      <c r="I1325" s="3">
        <f t="shared" ca="1" si="144"/>
        <v>40.980380932556201</v>
      </c>
      <c r="J1325" s="3">
        <f t="shared" ca="1" si="145"/>
        <v>10.813778338160393</v>
      </c>
      <c r="K1325" s="3">
        <f t="shared" ca="1" si="146"/>
        <v>23.164615557409665</v>
      </c>
    </row>
    <row r="1326" spans="3:11" x14ac:dyDescent="0.35">
      <c r="C1326" t="str">
        <f t="shared" ca="1" si="140"/>
        <v>2Q2025</v>
      </c>
      <c r="D1326" vm="2631">
        <f ca="1"/>
        <v>45870</v>
      </c>
      <c r="E1326" vm="2632">
        <f ca="1"/>
        <v>173.72</v>
      </c>
      <c r="F1326" s="3">
        <f t="shared" ca="1" si="141"/>
        <v>1.0850924024640658</v>
      </c>
      <c r="G1326" s="3">
        <f t="shared" ca="1" si="142"/>
        <v>4.1121149897330591</v>
      </c>
      <c r="H1326" s="3">
        <f t="shared" ca="1" si="143"/>
        <v>1.9196303901437373</v>
      </c>
      <c r="I1326" s="3">
        <f t="shared" ca="1" si="144"/>
        <v>40.024241162667472</v>
      </c>
      <c r="J1326" s="3">
        <f t="shared" ca="1" si="145"/>
        <v>10.56147508239289</v>
      </c>
      <c r="K1326" s="3">
        <f t="shared" ca="1" si="146"/>
        <v>22.624146931091285</v>
      </c>
    </row>
    <row r="1327" spans="3:11" x14ac:dyDescent="0.35">
      <c r="C1327" t="str">
        <f t="shared" ca="1" si="140"/>
        <v>2Q2025</v>
      </c>
      <c r="D1327" vm="2633">
        <f ca="1"/>
        <v>45873</v>
      </c>
      <c r="E1327" vm="2634">
        <f ca="1"/>
        <v>180</v>
      </c>
      <c r="F1327" s="3">
        <f t="shared" ca="1" si="141"/>
        <v>1.0850924024640658</v>
      </c>
      <c r="G1327" s="3">
        <f t="shared" ca="1" si="142"/>
        <v>4.1121149897330591</v>
      </c>
      <c r="H1327" s="3">
        <f t="shared" ca="1" si="143"/>
        <v>1.9196303901437373</v>
      </c>
      <c r="I1327" s="3">
        <f t="shared" ca="1" si="144"/>
        <v>41.471122549390657</v>
      </c>
      <c r="J1327" s="3">
        <f t="shared" ca="1" si="145"/>
        <v>10.943273744132629</v>
      </c>
      <c r="K1327" s="3">
        <f t="shared" ca="1" si="146"/>
        <v>23.442012707785121</v>
      </c>
    </row>
    <row r="1328" spans="3:11" x14ac:dyDescent="0.35">
      <c r="C1328" t="str">
        <f t="shared" ca="1" si="140"/>
        <v>2Q2025</v>
      </c>
      <c r="D1328" vm="2635">
        <f ca="1"/>
        <v>45874</v>
      </c>
      <c r="E1328" vm="2636">
        <f ca="1"/>
        <v>178.26</v>
      </c>
      <c r="F1328" s="3">
        <f t="shared" ca="1" si="141"/>
        <v>1.0850924024640658</v>
      </c>
      <c r="G1328" s="3">
        <f t="shared" ca="1" si="142"/>
        <v>4.1121149897330591</v>
      </c>
      <c r="H1328" s="3">
        <f t="shared" ca="1" si="143"/>
        <v>1.9196303901437373</v>
      </c>
      <c r="I1328" s="3">
        <f t="shared" ca="1" si="144"/>
        <v>41.070235031413212</v>
      </c>
      <c r="J1328" s="3">
        <f t="shared" ca="1" si="145"/>
        <v>10.837488764606013</v>
      </c>
      <c r="K1328" s="3">
        <f t="shared" ca="1" si="146"/>
        <v>23.215406584943199</v>
      </c>
    </row>
    <row r="1329" spans="3:11" x14ac:dyDescent="0.35">
      <c r="C1329" t="str">
        <f t="shared" ca="1" si="140"/>
        <v>2Q2025</v>
      </c>
      <c r="D1329" vm="2637">
        <f ca="1"/>
        <v>45875</v>
      </c>
      <c r="E1329" vm="2638">
        <f ca="1"/>
        <v>179.42</v>
      </c>
      <c r="F1329" s="3">
        <f t="shared" ca="1" si="141"/>
        <v>1.0850924024640658</v>
      </c>
      <c r="G1329" s="3">
        <f t="shared" ca="1" si="142"/>
        <v>4.1121149897330591</v>
      </c>
      <c r="H1329" s="3">
        <f t="shared" ca="1" si="143"/>
        <v>1.9196303901437373</v>
      </c>
      <c r="I1329" s="3">
        <f t="shared" ca="1" si="144"/>
        <v>41.337493376731508</v>
      </c>
      <c r="J1329" s="3">
        <f t="shared" ca="1" si="145"/>
        <v>10.908012084290423</v>
      </c>
      <c r="K1329" s="3">
        <f t="shared" ca="1" si="146"/>
        <v>23.366477333504481</v>
      </c>
    </row>
    <row r="1330" spans="3:11" x14ac:dyDescent="0.35">
      <c r="C1330" t="str">
        <f t="shared" ca="1" si="140"/>
        <v>2Q2025</v>
      </c>
      <c r="D1330" vm="2639">
        <f ca="1"/>
        <v>45876</v>
      </c>
      <c r="E1330" vm="2640">
        <f ca="1"/>
        <v>180.77</v>
      </c>
      <c r="F1330" s="3">
        <f t="shared" ca="1" si="141"/>
        <v>1.0850924024640658</v>
      </c>
      <c r="G1330" s="3">
        <f t="shared" ca="1" si="142"/>
        <v>4.1121149897330591</v>
      </c>
      <c r="H1330" s="3">
        <f t="shared" ca="1" si="143"/>
        <v>1.9196303901437373</v>
      </c>
      <c r="I1330" s="3">
        <f t="shared" ca="1" si="144"/>
        <v>41.648526795851943</v>
      </c>
      <c r="J1330" s="3">
        <f t="shared" ca="1" si="145"/>
        <v>10.990086637371419</v>
      </c>
      <c r="K1330" s="3">
        <f t="shared" ca="1" si="146"/>
        <v>23.542292428812871</v>
      </c>
    </row>
    <row r="1331" spans="3:11" x14ac:dyDescent="0.35">
      <c r="C1331" t="str">
        <f t="shared" ca="1" si="140"/>
        <v>2Q2025</v>
      </c>
      <c r="D1331" vm="2641">
        <f ca="1"/>
        <v>45877</v>
      </c>
      <c r="E1331" vm="2642">
        <f ca="1"/>
        <v>182.7</v>
      </c>
      <c r="F1331" s="3">
        <f t="shared" ca="1" si="141"/>
        <v>1.0850924024640658</v>
      </c>
      <c r="G1331" s="3">
        <f t="shared" ca="1" si="142"/>
        <v>4.1121149897330591</v>
      </c>
      <c r="H1331" s="3">
        <f t="shared" ca="1" si="143"/>
        <v>1.9196303901437373</v>
      </c>
      <c r="I1331" s="3">
        <f t="shared" ca="1" si="144"/>
        <v>42.093189387631512</v>
      </c>
      <c r="J1331" s="3">
        <f t="shared" ca="1" si="145"/>
        <v>11.107422850294617</v>
      </c>
      <c r="K1331" s="3">
        <f t="shared" ca="1" si="146"/>
        <v>23.793642898401899</v>
      </c>
    </row>
    <row r="1332" spans="3:11" x14ac:dyDescent="0.35">
      <c r="C1332" t="str">
        <f t="shared" ca="1" si="140"/>
        <v>2Q2025</v>
      </c>
      <c r="D1332" vm="2643">
        <f ca="1"/>
        <v>45880</v>
      </c>
      <c r="E1332" vm="2644">
        <f ca="1"/>
        <v>182.06</v>
      </c>
      <c r="F1332" s="3">
        <f t="shared" ca="1" si="141"/>
        <v>1.0850924024640658</v>
      </c>
      <c r="G1332" s="3">
        <f t="shared" ca="1" si="142"/>
        <v>4.1121149897330591</v>
      </c>
      <c r="H1332" s="3">
        <f t="shared" ca="1" si="143"/>
        <v>1.9196303901437373</v>
      </c>
      <c r="I1332" s="3">
        <f t="shared" ca="1" si="144"/>
        <v>41.945736507455905</v>
      </c>
      <c r="J1332" s="3">
        <f t="shared" ca="1" si="145"/>
        <v>11.068513432537703</v>
      </c>
      <c r="K1332" s="3">
        <f t="shared" ca="1" si="146"/>
        <v>23.71029351988533</v>
      </c>
    </row>
    <row r="1333" spans="3:11" x14ac:dyDescent="0.35">
      <c r="C1333" t="str">
        <f t="shared" ca="1" si="140"/>
        <v>2Q2025</v>
      </c>
      <c r="D1333" vm="2645">
        <f ca="1"/>
        <v>45881</v>
      </c>
      <c r="E1333" vm="2646">
        <f ca="1"/>
        <v>183.16</v>
      </c>
      <c r="F1333" s="3">
        <f t="shared" ca="1" si="141"/>
        <v>1.0850924024640658</v>
      </c>
      <c r="G1333" s="3">
        <f t="shared" ca="1" si="142"/>
        <v>4.1121149897330591</v>
      </c>
      <c r="H1333" s="3">
        <f t="shared" ca="1" si="143"/>
        <v>1.9196303901437373</v>
      </c>
      <c r="I1333" s="3">
        <f t="shared" ca="1" si="144"/>
        <v>42.199171145257736</v>
      </c>
      <c r="J1333" s="3">
        <f t="shared" ca="1" si="145"/>
        <v>11.135388994307402</v>
      </c>
      <c r="K1333" s="3">
        <f t="shared" ca="1" si="146"/>
        <v>23.853550264210682</v>
      </c>
    </row>
    <row r="1334" spans="3:11" x14ac:dyDescent="0.35">
      <c r="C1334" t="str">
        <f t="shared" ca="1" si="140"/>
        <v>2Q2025</v>
      </c>
      <c r="D1334" vm="2647">
        <f ca="1"/>
        <v>45882</v>
      </c>
      <c r="E1334" vm="2648">
        <f ca="1"/>
        <v>181.59</v>
      </c>
      <c r="F1334" s="3">
        <f t="shared" ca="1" si="141"/>
        <v>1.0850924024640658</v>
      </c>
      <c r="G1334" s="3">
        <f t="shared" ca="1" si="142"/>
        <v>4.1121149897330591</v>
      </c>
      <c r="H1334" s="3">
        <f t="shared" ca="1" si="143"/>
        <v>1.9196303901437373</v>
      </c>
      <c r="I1334" s="3">
        <f t="shared" ca="1" si="144"/>
        <v>41.837450798576938</v>
      </c>
      <c r="J1334" s="3">
        <f t="shared" ca="1" si="145"/>
        <v>11.039939328872467</v>
      </c>
      <c r="K1334" s="3">
        <f t="shared" ca="1" si="146"/>
        <v>23.649083820037223</v>
      </c>
    </row>
    <row r="1335" spans="3:11" x14ac:dyDescent="0.35">
      <c r="C1335" t="str">
        <f t="shared" ca="1" si="140"/>
        <v>2Q2025</v>
      </c>
      <c r="D1335" vm="2649">
        <f ca="1"/>
        <v>45883</v>
      </c>
      <c r="E1335" vm="2650">
        <f ca="1"/>
        <v>182.02</v>
      </c>
      <c r="F1335" s="3">
        <f t="shared" ca="1" si="141"/>
        <v>1.0850924024640658</v>
      </c>
      <c r="G1335" s="3">
        <f t="shared" ca="1" si="142"/>
        <v>4.1121149897330591</v>
      </c>
      <c r="H1335" s="3">
        <f t="shared" ca="1" si="143"/>
        <v>1.9196303901437373</v>
      </c>
      <c r="I1335" s="3">
        <f t="shared" ca="1" si="144"/>
        <v>41.93652070244493</v>
      </c>
      <c r="J1335" s="3">
        <f t="shared" ca="1" si="145"/>
        <v>11.066081593927896</v>
      </c>
      <c r="K1335" s="3">
        <f t="shared" ca="1" si="146"/>
        <v>23.705084183728044</v>
      </c>
    </row>
    <row r="1336" spans="3:11" x14ac:dyDescent="0.35">
      <c r="C1336" t="str">
        <f t="shared" ca="1" si="140"/>
        <v>2Q2025</v>
      </c>
      <c r="D1336" vm="2651">
        <f ca="1"/>
        <v>45884</v>
      </c>
      <c r="E1336" vm="2652">
        <f ca="1"/>
        <v>180.45</v>
      </c>
      <c r="F1336" s="3">
        <f t="shared" ca="1" si="141"/>
        <v>1.0850924024640658</v>
      </c>
      <c r="G1336" s="3">
        <f t="shared" ca="1" si="142"/>
        <v>4.1121149897330591</v>
      </c>
      <c r="H1336" s="3">
        <f t="shared" ca="1" si="143"/>
        <v>1.9196303901437373</v>
      </c>
      <c r="I1336" s="3">
        <f t="shared" ca="1" si="144"/>
        <v>41.574800355764133</v>
      </c>
      <c r="J1336" s="3">
        <f t="shared" ca="1" si="145"/>
        <v>10.97063192849296</v>
      </c>
      <c r="K1336" s="3">
        <f t="shared" ca="1" si="146"/>
        <v>23.500617739554585</v>
      </c>
    </row>
    <row r="1337" spans="3:11" x14ac:dyDescent="0.35">
      <c r="C1337" t="str">
        <f t="shared" ca="1" si="140"/>
        <v>2Q2025</v>
      </c>
      <c r="D1337" vm="2653">
        <f ca="1"/>
        <v>45887</v>
      </c>
      <c r="E1337" vm="2654">
        <f ca="1"/>
        <v>182.01</v>
      </c>
      <c r="F1337" s="3">
        <f t="shared" ca="1" si="141"/>
        <v>1.0850924024640658</v>
      </c>
      <c r="G1337" s="3">
        <f t="shared" ca="1" si="142"/>
        <v>4.1121149897330591</v>
      </c>
      <c r="H1337" s="3">
        <f t="shared" ca="1" si="143"/>
        <v>1.9196303901437373</v>
      </c>
      <c r="I1337" s="3">
        <f t="shared" ca="1" si="144"/>
        <v>41.934216751192182</v>
      </c>
      <c r="J1337" s="3">
        <f t="shared" ca="1" si="145"/>
        <v>11.065473634275442</v>
      </c>
      <c r="K1337" s="3">
        <f t="shared" ca="1" si="146"/>
        <v>23.70378184968872</v>
      </c>
    </row>
    <row r="1338" spans="3:11" x14ac:dyDescent="0.35">
      <c r="C1338" t="str">
        <f t="shared" ca="1" si="140"/>
        <v>2Q2025</v>
      </c>
      <c r="D1338" vm="2655">
        <f ca="1"/>
        <v>45888</v>
      </c>
      <c r="E1338" vm="2656">
        <f ca="1"/>
        <v>175.64</v>
      </c>
      <c r="F1338" s="3">
        <f t="shared" ca="1" si="141"/>
        <v>1.0850924024640658</v>
      </c>
      <c r="G1338" s="3">
        <f t="shared" ca="1" si="142"/>
        <v>4.1121149897330591</v>
      </c>
      <c r="H1338" s="3">
        <f t="shared" ca="1" si="143"/>
        <v>1.9196303901437373</v>
      </c>
      <c r="I1338" s="3">
        <f t="shared" ca="1" si="144"/>
        <v>40.466599803194299</v>
      </c>
      <c r="J1338" s="3">
        <f t="shared" ca="1" si="145"/>
        <v>10.678203335663637</v>
      </c>
      <c r="K1338" s="3">
        <f t="shared" ca="1" si="146"/>
        <v>22.87419506664099</v>
      </c>
    </row>
    <row r="1339" spans="3:11" x14ac:dyDescent="0.35">
      <c r="C1339" t="str">
        <f t="shared" ca="1" si="140"/>
        <v>2Q2025</v>
      </c>
      <c r="D1339" vm="2657">
        <f ca="1"/>
        <v>45889</v>
      </c>
      <c r="E1339" vm="2658">
        <f ca="1"/>
        <v>175.4</v>
      </c>
      <c r="F1339" s="3">
        <f t="shared" ca="1" si="141"/>
        <v>1.0850924024640658</v>
      </c>
      <c r="G1339" s="3">
        <f t="shared" ca="1" si="142"/>
        <v>4.1121149897330591</v>
      </c>
      <c r="H1339" s="3">
        <f t="shared" ca="1" si="143"/>
        <v>1.9196303901437373</v>
      </c>
      <c r="I1339" s="3">
        <f t="shared" ca="1" si="144"/>
        <v>40.411304973128452</v>
      </c>
      <c r="J1339" s="3">
        <f t="shared" ca="1" si="145"/>
        <v>10.663612304004795</v>
      </c>
      <c r="K1339" s="3">
        <f t="shared" ca="1" si="146"/>
        <v>22.842939049697282</v>
      </c>
    </row>
    <row r="1340" spans="3:11" x14ac:dyDescent="0.35">
      <c r="C1340" t="str">
        <f t="shared" ca="1" si="140"/>
        <v>2Q2025</v>
      </c>
      <c r="D1340" vm="2659">
        <f ca="1"/>
        <v>45890</v>
      </c>
      <c r="E1340" vm="2660">
        <f ca="1"/>
        <v>174.98</v>
      </c>
      <c r="F1340" s="3">
        <f t="shared" ca="1" si="141"/>
        <v>1.0850924024640658</v>
      </c>
      <c r="G1340" s="3">
        <f t="shared" ca="1" si="142"/>
        <v>4.1121149897330591</v>
      </c>
      <c r="H1340" s="3">
        <f t="shared" ca="1" si="143"/>
        <v>1.9196303901437373</v>
      </c>
      <c r="I1340" s="3">
        <f t="shared" ca="1" si="144"/>
        <v>40.314539020513202</v>
      </c>
      <c r="J1340" s="3">
        <f t="shared" ca="1" si="145"/>
        <v>10.638077998601819</v>
      </c>
      <c r="K1340" s="3">
        <f t="shared" ca="1" si="146"/>
        <v>22.788241020045781</v>
      </c>
    </row>
    <row r="1341" spans="3:11" x14ac:dyDescent="0.35">
      <c r="C1341" t="str">
        <f t="shared" ca="1" si="140"/>
        <v>2Q2025</v>
      </c>
      <c r="D1341" vm="2661">
        <f ca="1"/>
        <v>45891</v>
      </c>
      <c r="E1341" vm="2662">
        <f ca="1"/>
        <v>177.99</v>
      </c>
      <c r="F1341" s="3">
        <f t="shared" ca="1" si="141"/>
        <v>1.0850924024640658</v>
      </c>
      <c r="G1341" s="3">
        <f t="shared" ca="1" si="142"/>
        <v>4.1121149897330591</v>
      </c>
      <c r="H1341" s="3">
        <f t="shared" ca="1" si="143"/>
        <v>1.9196303901437373</v>
      </c>
      <c r="I1341" s="3">
        <f t="shared" ca="1" si="144"/>
        <v>41.008028347589132</v>
      </c>
      <c r="J1341" s="3">
        <f t="shared" ca="1" si="145"/>
        <v>10.821073853989814</v>
      </c>
      <c r="K1341" s="3">
        <f t="shared" ca="1" si="146"/>
        <v>23.180243565881522</v>
      </c>
    </row>
    <row r="1342" spans="3:11" x14ac:dyDescent="0.35">
      <c r="C1342" t="str">
        <f t="shared" ca="1" si="140"/>
        <v>2Q2025</v>
      </c>
      <c r="D1342" vm="2663">
        <f ca="1"/>
        <v>45894</v>
      </c>
      <c r="E1342" vm="2664">
        <f ca="1"/>
        <v>179.81</v>
      </c>
      <c r="F1342" s="3">
        <f t="shared" ca="1" si="141"/>
        <v>1.0850924024640658</v>
      </c>
      <c r="G1342" s="3">
        <f t="shared" ca="1" si="142"/>
        <v>4.1121149897330591</v>
      </c>
      <c r="H1342" s="3">
        <f t="shared" ca="1" si="143"/>
        <v>1.9196303901437373</v>
      </c>
      <c r="I1342" s="3">
        <f t="shared" ca="1" si="144"/>
        <v>41.427347475588519</v>
      </c>
      <c r="J1342" s="3">
        <f t="shared" ca="1" si="145"/>
        <v>10.931722510736044</v>
      </c>
      <c r="K1342" s="3">
        <f t="shared" ca="1" si="146"/>
        <v>23.417268361038015</v>
      </c>
    </row>
    <row r="1343" spans="3:11" x14ac:dyDescent="0.35">
      <c r="C1343" t="str">
        <f t="shared" ca="1" si="140"/>
        <v>2Q2025</v>
      </c>
      <c r="D1343" vm="2665">
        <f ca="1"/>
        <v>45895</v>
      </c>
      <c r="E1343" vm="2666">
        <f ca="1"/>
        <v>181.77</v>
      </c>
      <c r="F1343" s="3">
        <f t="shared" ca="1" si="141"/>
        <v>1.0850924024640658</v>
      </c>
      <c r="G1343" s="3">
        <f t="shared" ca="1" si="142"/>
        <v>4.1121149897330591</v>
      </c>
      <c r="H1343" s="3">
        <f t="shared" ca="1" si="143"/>
        <v>1.9196303901437373</v>
      </c>
      <c r="I1343" s="3">
        <f t="shared" ca="1" si="144"/>
        <v>41.878921921126334</v>
      </c>
      <c r="J1343" s="3">
        <f t="shared" ca="1" si="145"/>
        <v>11.0508826026166</v>
      </c>
      <c r="K1343" s="3">
        <f t="shared" ca="1" si="146"/>
        <v>23.672525832745009</v>
      </c>
    </row>
    <row r="1344" spans="3:11" x14ac:dyDescent="0.35">
      <c r="C1344" t="str">
        <f t="shared" ca="1" si="140"/>
        <v>2Q2025</v>
      </c>
      <c r="D1344" vm="2667">
        <f ca="1"/>
        <v>45896</v>
      </c>
      <c r="E1344" vm="2668">
        <f ca="1"/>
        <v>181.6</v>
      </c>
      <c r="F1344" s="3">
        <f t="shared" ca="1" si="141"/>
        <v>1.0850924024640658</v>
      </c>
      <c r="G1344" s="3">
        <f t="shared" ca="1" si="142"/>
        <v>4.1121149897330591</v>
      </c>
      <c r="H1344" s="3">
        <f t="shared" ca="1" si="143"/>
        <v>1.9196303901437373</v>
      </c>
      <c r="I1344" s="3">
        <f t="shared" ca="1" si="144"/>
        <v>41.83975474982968</v>
      </c>
      <c r="J1344" s="3">
        <f t="shared" ca="1" si="145"/>
        <v>11.040547288524918</v>
      </c>
      <c r="K1344" s="3">
        <f t="shared" ca="1" si="146"/>
        <v>23.650386154076543</v>
      </c>
    </row>
    <row r="1345" spans="3:11" x14ac:dyDescent="0.35">
      <c r="C1345" t="str">
        <f t="shared" ca="1" si="140"/>
        <v>2Q2025</v>
      </c>
      <c r="D1345" vm="2669">
        <f ca="1"/>
        <v>45897</v>
      </c>
      <c r="E1345" vm="2670">
        <f ca="1"/>
        <v>180.17</v>
      </c>
      <c r="F1345" s="3">
        <f t="shared" ca="1" si="141"/>
        <v>1.0850924024640658</v>
      </c>
      <c r="G1345" s="3">
        <f t="shared" ca="1" si="142"/>
        <v>4.1121149897330591</v>
      </c>
      <c r="H1345" s="3">
        <f t="shared" ca="1" si="143"/>
        <v>1.9196303901437373</v>
      </c>
      <c r="I1345" s="3">
        <f t="shared" ca="1" si="144"/>
        <v>41.510289720687297</v>
      </c>
      <c r="J1345" s="3">
        <f t="shared" ca="1" si="145"/>
        <v>10.953609058224309</v>
      </c>
      <c r="K1345" s="3">
        <f t="shared" ca="1" si="146"/>
        <v>23.464152386453584</v>
      </c>
    </row>
    <row r="1346" spans="3:11" x14ac:dyDescent="0.35">
      <c r="C1346" t="str">
        <f t="shared" ca="1" si="140"/>
        <v>2Q2025</v>
      </c>
      <c r="D1346" vm="2671">
        <f ca="1"/>
        <v>45898</v>
      </c>
      <c r="E1346" vm="2672">
        <f ca="1"/>
        <v>174.18</v>
      </c>
      <c r="F1346" s="3">
        <f t="shared" ca="1" si="141"/>
        <v>1.0850924024640658</v>
      </c>
      <c r="G1346" s="3">
        <f t="shared" ca="1" si="142"/>
        <v>4.1121149897330591</v>
      </c>
      <c r="H1346" s="3">
        <f t="shared" ca="1" si="143"/>
        <v>1.9196303901437373</v>
      </c>
      <c r="I1346" s="3">
        <f t="shared" ca="1" si="144"/>
        <v>40.13022292029369</v>
      </c>
      <c r="J1346" s="3">
        <f t="shared" ca="1" si="145"/>
        <v>10.589441226405674</v>
      </c>
      <c r="K1346" s="3">
        <f t="shared" ca="1" si="146"/>
        <v>22.684054296900069</v>
      </c>
    </row>
    <row r="1347" spans="3:11" x14ac:dyDescent="0.35">
      <c r="C1347" t="str">
        <f t="shared" ref="C1347:C1410" ca="1" si="147">LOOKUP(D1347,$N$2:$N$27,$M$2:$M$27)</f>
        <v>2Q2025</v>
      </c>
      <c r="D1347" vm="2673">
        <f ca="1"/>
        <v>45902</v>
      </c>
      <c r="E1347" vm="2618">
        <f ca="1"/>
        <v>170.78</v>
      </c>
      <c r="F1347" s="3">
        <f t="shared" ca="1" si="141"/>
        <v>1.0850924024640658</v>
      </c>
      <c r="G1347" s="3">
        <f t="shared" ca="1" si="142"/>
        <v>4.1121149897330591</v>
      </c>
      <c r="H1347" s="3">
        <f t="shared" ca="1" si="143"/>
        <v>1.9196303901437373</v>
      </c>
      <c r="I1347" s="3">
        <f t="shared" ca="1" si="144"/>
        <v>39.346879494360756</v>
      </c>
      <c r="J1347" s="3">
        <f t="shared" ca="1" si="145"/>
        <v>10.382734944572057</v>
      </c>
      <c r="K1347" s="3">
        <f t="shared" ca="1" si="146"/>
        <v>22.241260723530797</v>
      </c>
    </row>
    <row r="1348" spans="3:11" x14ac:dyDescent="0.35">
      <c r="C1348" t="str">
        <f t="shared" ca="1" si="147"/>
        <v>2Q2025</v>
      </c>
      <c r="D1348" vm="2674">
        <f ca="1"/>
        <v>45903</v>
      </c>
      <c r="E1348" vm="2675">
        <f ca="1"/>
        <v>170.62</v>
      </c>
      <c r="F1348" s="3">
        <f t="shared" ref="F1348:F1411" ca="1" si="148">VLOOKUP($C1348,$M$2:$R$27,4,0)/VLOOKUP($C1348,$M$2:$R$27,3,0)</f>
        <v>1.0850924024640658</v>
      </c>
      <c r="G1348" s="3">
        <f t="shared" ref="G1348:G1411" ca="1" si="149">VLOOKUP($C1348,$M$2:$R$27,6,0)/VLOOKUP($C1348,$M$2:$R$27,3,0)</f>
        <v>4.1121149897330591</v>
      </c>
      <c r="H1348" s="3">
        <f t="shared" ref="H1348:H1411" ca="1" si="150">VLOOKUP($C1348,$M$2:$R$27,5,0)/VLOOKUP($C1348,$M$2:$R$27,3,0)</f>
        <v>1.9196303901437373</v>
      </c>
      <c r="I1348" s="3">
        <f t="shared" ref="I1348:I1411" ca="1" si="151">$E1348/(F1348*4)</f>
        <v>39.310016274316858</v>
      </c>
      <c r="J1348" s="3">
        <f t="shared" ref="J1348:J1411" ca="1" si="152">$E1348/(G1348*4)</f>
        <v>10.373007590132829</v>
      </c>
      <c r="K1348" s="3">
        <f t="shared" ref="K1348:K1411" ca="1" si="153">$E1348/(H1348*4)</f>
        <v>22.220423378901653</v>
      </c>
    </row>
    <row r="1349" spans="3:11" x14ac:dyDescent="0.35">
      <c r="C1349" t="str">
        <f t="shared" ca="1" si="147"/>
        <v>2Q2025</v>
      </c>
      <c r="D1349" vm="2676">
        <f ca="1"/>
        <v>45904</v>
      </c>
      <c r="E1349" vm="2677">
        <f ca="1"/>
        <v>171.66</v>
      </c>
      <c r="F1349" s="3">
        <f t="shared" ca="1" si="148"/>
        <v>1.0850924024640658</v>
      </c>
      <c r="G1349" s="3">
        <f t="shared" ca="1" si="149"/>
        <v>4.1121149897330591</v>
      </c>
      <c r="H1349" s="3">
        <f t="shared" ca="1" si="150"/>
        <v>1.9196303901437373</v>
      </c>
      <c r="I1349" s="3">
        <f t="shared" ca="1" si="151"/>
        <v>39.549627204602224</v>
      </c>
      <c r="J1349" s="3">
        <f t="shared" ca="1" si="152"/>
        <v>10.436235393987817</v>
      </c>
      <c r="K1349" s="3">
        <f t="shared" ca="1" si="153"/>
        <v>22.355866118991077</v>
      </c>
    </row>
    <row r="1350" spans="3:11" x14ac:dyDescent="0.35">
      <c r="C1350" t="str">
        <f t="shared" ca="1" si="147"/>
        <v>2Q2025</v>
      </c>
      <c r="D1350" vm="2678">
        <f ca="1"/>
        <v>45905</v>
      </c>
      <c r="E1350" vm="2679">
        <f ca="1"/>
        <v>167.02</v>
      </c>
      <c r="F1350" s="3">
        <f t="shared" ca="1" si="148"/>
        <v>1.0850924024640658</v>
      </c>
      <c r="G1350" s="3">
        <f t="shared" ca="1" si="149"/>
        <v>4.1121149897330591</v>
      </c>
      <c r="H1350" s="3">
        <f t="shared" ca="1" si="150"/>
        <v>1.9196303901437373</v>
      </c>
      <c r="I1350" s="3">
        <f t="shared" ca="1" si="151"/>
        <v>38.480593823329045</v>
      </c>
      <c r="J1350" s="3">
        <f t="shared" ca="1" si="152"/>
        <v>10.154142115250176</v>
      </c>
      <c r="K1350" s="3">
        <f t="shared" ca="1" si="153"/>
        <v>21.751583124745952</v>
      </c>
    </row>
    <row r="1351" spans="3:11" x14ac:dyDescent="0.35">
      <c r="C1351" t="str">
        <f t="shared" ca="1" si="147"/>
        <v>2Q2025</v>
      </c>
      <c r="D1351" vm="2680">
        <f ca="1"/>
        <v>45908</v>
      </c>
      <c r="E1351" vm="2681">
        <f ca="1"/>
        <v>168.31</v>
      </c>
      <c r="F1351" s="3">
        <f t="shared" ca="1" si="148"/>
        <v>1.0850924024640658</v>
      </c>
      <c r="G1351" s="3">
        <f t="shared" ca="1" si="149"/>
        <v>4.1121149897330591</v>
      </c>
      <c r="H1351" s="3">
        <f t="shared" ca="1" si="150"/>
        <v>1.9196303901437373</v>
      </c>
      <c r="I1351" s="3">
        <f t="shared" ca="1" si="151"/>
        <v>38.777803534933007</v>
      </c>
      <c r="J1351" s="3">
        <f t="shared" ca="1" si="152"/>
        <v>10.232568910416459</v>
      </c>
      <c r="K1351" s="3">
        <f t="shared" ca="1" si="153"/>
        <v>21.919584215818411</v>
      </c>
    </row>
    <row r="1352" spans="3:11" x14ac:dyDescent="0.35">
      <c r="C1352" t="str">
        <f t="shared" ca="1" si="147"/>
        <v>2Q2025</v>
      </c>
      <c r="D1352" vm="2682">
        <f ca="1"/>
        <v>45909</v>
      </c>
      <c r="E1352" vm="2683">
        <f ca="1"/>
        <v>170.76</v>
      </c>
      <c r="F1352" s="3">
        <f t="shared" ca="1" si="148"/>
        <v>1.0850924024640658</v>
      </c>
      <c r="G1352" s="3">
        <f t="shared" ca="1" si="149"/>
        <v>4.1121149897330591</v>
      </c>
      <c r="H1352" s="3">
        <f t="shared" ca="1" si="150"/>
        <v>1.9196303901437373</v>
      </c>
      <c r="I1352" s="3">
        <f t="shared" ca="1" si="151"/>
        <v>39.342271591855265</v>
      </c>
      <c r="J1352" s="3">
        <f t="shared" ca="1" si="152"/>
        <v>10.381519025267153</v>
      </c>
      <c r="K1352" s="3">
        <f t="shared" ca="1" si="153"/>
        <v>22.23865605545215</v>
      </c>
    </row>
    <row r="1353" spans="3:11" x14ac:dyDescent="0.35">
      <c r="C1353" t="str">
        <f t="shared" ca="1" si="147"/>
        <v>2Q2025</v>
      </c>
      <c r="D1353" vm="2684">
        <f ca="1"/>
        <v>45910</v>
      </c>
      <c r="E1353" vm="2685">
        <f ca="1"/>
        <v>177.33</v>
      </c>
      <c r="F1353" s="3">
        <f t="shared" ca="1" si="148"/>
        <v>1.0850924024640658</v>
      </c>
      <c r="G1353" s="3">
        <f t="shared" ca="1" si="149"/>
        <v>4.1121149897330591</v>
      </c>
      <c r="H1353" s="3">
        <f t="shared" ca="1" si="150"/>
        <v>1.9196303901437373</v>
      </c>
      <c r="I1353" s="3">
        <f t="shared" ca="1" si="151"/>
        <v>40.855967564908028</v>
      </c>
      <c r="J1353" s="3">
        <f t="shared" ca="1" si="152"/>
        <v>10.780948516927996</v>
      </c>
      <c r="K1353" s="3">
        <f t="shared" ca="1" si="153"/>
        <v>23.09428951928631</v>
      </c>
    </row>
    <row r="1354" spans="3:11" x14ac:dyDescent="0.35">
      <c r="C1354" t="str">
        <f t="shared" ca="1" si="147"/>
        <v>2Q2025</v>
      </c>
      <c r="D1354" vm="2686">
        <f ca="1"/>
        <v>45911</v>
      </c>
      <c r="E1354" vm="2687">
        <f ca="1"/>
        <v>177.17</v>
      </c>
      <c r="F1354" s="3">
        <f t="shared" ca="1" si="148"/>
        <v>1.0850924024640658</v>
      </c>
      <c r="G1354" s="3">
        <f t="shared" ca="1" si="149"/>
        <v>4.1121149897330591</v>
      </c>
      <c r="H1354" s="3">
        <f t="shared" ca="1" si="150"/>
        <v>1.9196303901437373</v>
      </c>
      <c r="I1354" s="3">
        <f t="shared" ca="1" si="151"/>
        <v>40.819104344864122</v>
      </c>
      <c r="J1354" s="3">
        <f t="shared" ca="1" si="152"/>
        <v>10.771221162488764</v>
      </c>
      <c r="K1354" s="3">
        <f t="shared" ca="1" si="153"/>
        <v>23.073452174657167</v>
      </c>
    </row>
    <row r="1355" spans="3:11" x14ac:dyDescent="0.35">
      <c r="C1355" t="str">
        <f t="shared" ca="1" si="147"/>
        <v>2Q2025</v>
      </c>
      <c r="D1355" vm="2688">
        <f ca="1"/>
        <v>45912</v>
      </c>
      <c r="E1355" vm="2689">
        <f ca="1"/>
        <v>177.82</v>
      </c>
      <c r="F1355" s="3">
        <f t="shared" ca="1" si="148"/>
        <v>1.0850924024640658</v>
      </c>
      <c r="G1355" s="3">
        <f t="shared" ca="1" si="149"/>
        <v>4.1121149897330591</v>
      </c>
      <c r="H1355" s="3">
        <f t="shared" ca="1" si="150"/>
        <v>1.9196303901437373</v>
      </c>
      <c r="I1355" s="3">
        <f t="shared" ca="1" si="151"/>
        <v>40.968861176292478</v>
      </c>
      <c r="J1355" s="3">
        <f t="shared" ca="1" si="152"/>
        <v>10.810738539898134</v>
      </c>
      <c r="K1355" s="3">
        <f t="shared" ca="1" si="153"/>
        <v>23.158103887213056</v>
      </c>
    </row>
    <row r="1356" spans="3:11" x14ac:dyDescent="0.35">
      <c r="C1356" t="str">
        <f t="shared" ca="1" si="147"/>
        <v>2Q2025</v>
      </c>
      <c r="D1356" vm="2690">
        <f ca="1"/>
        <v>45915</v>
      </c>
      <c r="E1356" vm="2691">
        <f ca="1"/>
        <v>177.75</v>
      </c>
      <c r="F1356" s="3">
        <f t="shared" ca="1" si="148"/>
        <v>1.0850924024640658</v>
      </c>
      <c r="G1356" s="3">
        <f t="shared" ca="1" si="149"/>
        <v>4.1121149897330591</v>
      </c>
      <c r="H1356" s="3">
        <f t="shared" ca="1" si="150"/>
        <v>1.9196303901437373</v>
      </c>
      <c r="I1356" s="3">
        <f t="shared" ca="1" si="151"/>
        <v>40.952733517523271</v>
      </c>
      <c r="J1356" s="3">
        <f t="shared" ca="1" si="152"/>
        <v>10.80648282233097</v>
      </c>
      <c r="K1356" s="3">
        <f t="shared" ca="1" si="153"/>
        <v>23.148987548937807</v>
      </c>
    </row>
    <row r="1357" spans="3:11" x14ac:dyDescent="0.35">
      <c r="C1357" t="str">
        <f t="shared" ca="1" si="147"/>
        <v>2Q2025</v>
      </c>
      <c r="D1357" vm="2692">
        <f ca="1"/>
        <v>45916</v>
      </c>
      <c r="E1357" vm="2693">
        <f ca="1"/>
        <v>174.88</v>
      </c>
      <c r="F1357" s="3">
        <f t="shared" ca="1" si="148"/>
        <v>1.0850924024640658</v>
      </c>
      <c r="G1357" s="3">
        <f t="shared" ca="1" si="149"/>
        <v>4.1121149897330591</v>
      </c>
      <c r="H1357" s="3">
        <f t="shared" ca="1" si="150"/>
        <v>1.9196303901437373</v>
      </c>
      <c r="I1357" s="3">
        <f t="shared" ca="1" si="151"/>
        <v>40.291499507985762</v>
      </c>
      <c r="J1357" s="3">
        <f t="shared" ca="1" si="152"/>
        <v>10.631998402077301</v>
      </c>
      <c r="K1357" s="3">
        <f t="shared" ca="1" si="153"/>
        <v>22.775217679652567</v>
      </c>
    </row>
    <row r="1358" spans="3:11" x14ac:dyDescent="0.35">
      <c r="C1358" t="str">
        <f t="shared" ca="1" si="147"/>
        <v>2Q2025</v>
      </c>
      <c r="D1358" vm="2694">
        <f ca="1"/>
        <v>45917</v>
      </c>
      <c r="E1358" vm="2695">
        <f ca="1"/>
        <v>170.29</v>
      </c>
      <c r="F1358" s="3">
        <f t="shared" ca="1" si="148"/>
        <v>1.0850924024640658</v>
      </c>
      <c r="G1358" s="3">
        <f t="shared" ca="1" si="149"/>
        <v>4.1121149897330591</v>
      </c>
      <c r="H1358" s="3">
        <f t="shared" ca="1" si="150"/>
        <v>1.9196303901437373</v>
      </c>
      <c r="I1358" s="3">
        <f t="shared" ca="1" si="151"/>
        <v>39.233985882976306</v>
      </c>
      <c r="J1358" s="3">
        <f t="shared" ca="1" si="152"/>
        <v>10.352944921601917</v>
      </c>
      <c r="K1358" s="3">
        <f t="shared" ca="1" si="153"/>
        <v>22.177446355604044</v>
      </c>
    </row>
    <row r="1359" spans="3:11" x14ac:dyDescent="0.35">
      <c r="C1359" t="str">
        <f t="shared" ca="1" si="147"/>
        <v>2Q2025</v>
      </c>
      <c r="D1359" vm="2696">
        <f ca="1"/>
        <v>45918</v>
      </c>
      <c r="E1359" vm="2697">
        <f ca="1"/>
        <v>176.24</v>
      </c>
      <c r="F1359" s="3">
        <f t="shared" ca="1" si="148"/>
        <v>1.0850924024640658</v>
      </c>
      <c r="G1359" s="3">
        <f t="shared" ca="1" si="149"/>
        <v>4.1121149897330591</v>
      </c>
      <c r="H1359" s="3">
        <f t="shared" ca="1" si="150"/>
        <v>1.9196303901437373</v>
      </c>
      <c r="I1359" s="3">
        <f t="shared" ca="1" si="151"/>
        <v>40.604836878358945</v>
      </c>
      <c r="J1359" s="3">
        <f t="shared" ca="1" si="152"/>
        <v>10.714680914810748</v>
      </c>
      <c r="K1359" s="3">
        <f t="shared" ca="1" si="153"/>
        <v>22.952335109000277</v>
      </c>
    </row>
    <row r="1360" spans="3:11" x14ac:dyDescent="0.35">
      <c r="C1360" t="str">
        <f t="shared" ca="1" si="147"/>
        <v>2Q2025</v>
      </c>
      <c r="D1360" vm="2698">
        <f ca="1"/>
        <v>45919</v>
      </c>
      <c r="E1360" vm="2699">
        <f ca="1"/>
        <v>176.67</v>
      </c>
      <c r="F1360" s="3">
        <f t="shared" ca="1" si="148"/>
        <v>1.0850924024640658</v>
      </c>
      <c r="G1360" s="3">
        <f t="shared" ca="1" si="149"/>
        <v>4.1121149897330591</v>
      </c>
      <c r="H1360" s="3">
        <f t="shared" ca="1" si="150"/>
        <v>1.9196303901437373</v>
      </c>
      <c r="I1360" s="3">
        <f t="shared" ca="1" si="151"/>
        <v>40.703906782226923</v>
      </c>
      <c r="J1360" s="3">
        <f t="shared" ca="1" si="152"/>
        <v>10.740823179866174</v>
      </c>
      <c r="K1360" s="3">
        <f t="shared" ca="1" si="153"/>
        <v>23.008335472691094</v>
      </c>
    </row>
    <row r="1361" spans="3:11" x14ac:dyDescent="0.35">
      <c r="C1361" t="str">
        <f t="shared" ca="1" si="147"/>
        <v>2Q2025</v>
      </c>
      <c r="D1361" vm="2700">
        <f ca="1"/>
        <v>45922</v>
      </c>
      <c r="E1361" vm="2701">
        <f ca="1"/>
        <v>183.61</v>
      </c>
      <c r="F1361" s="3">
        <f t="shared" ca="1" si="148"/>
        <v>1.0850924024640658</v>
      </c>
      <c r="G1361" s="3">
        <f t="shared" ca="1" si="149"/>
        <v>4.1121149897330591</v>
      </c>
      <c r="H1361" s="3">
        <f t="shared" ca="1" si="150"/>
        <v>1.9196303901437373</v>
      </c>
      <c r="I1361" s="3">
        <f t="shared" ca="1" si="151"/>
        <v>42.302848951631219</v>
      </c>
      <c r="J1361" s="3">
        <f t="shared" ca="1" si="152"/>
        <v>11.162747178667734</v>
      </c>
      <c r="K1361" s="3">
        <f t="shared" ca="1" si="153"/>
        <v>23.912155295980146</v>
      </c>
    </row>
    <row r="1362" spans="3:11" x14ac:dyDescent="0.35">
      <c r="C1362" t="str">
        <f t="shared" ca="1" si="147"/>
        <v>2Q2025</v>
      </c>
      <c r="D1362" vm="2702">
        <f ca="1"/>
        <v>45923</v>
      </c>
      <c r="E1362" vm="2703">
        <f ca="1"/>
        <v>178.43</v>
      </c>
      <c r="F1362" s="3">
        <f t="shared" ca="1" si="148"/>
        <v>1.0850924024640658</v>
      </c>
      <c r="G1362" s="3">
        <f t="shared" ca="1" si="149"/>
        <v>4.1121149897330591</v>
      </c>
      <c r="H1362" s="3">
        <f t="shared" ca="1" si="150"/>
        <v>1.9196303901437373</v>
      </c>
      <c r="I1362" s="3">
        <f t="shared" ca="1" si="151"/>
        <v>41.109402202709859</v>
      </c>
      <c r="J1362" s="3">
        <f t="shared" ca="1" si="152"/>
        <v>10.847824078697695</v>
      </c>
      <c r="K1362" s="3">
        <f t="shared" ca="1" si="153"/>
        <v>23.237546263611662</v>
      </c>
    </row>
    <row r="1363" spans="3:11" x14ac:dyDescent="0.35">
      <c r="C1363" t="str">
        <f t="shared" ca="1" si="147"/>
        <v>2Q2025</v>
      </c>
      <c r="D1363" vm="2704">
        <f ca="1"/>
        <v>45924</v>
      </c>
      <c r="E1363" vm="2705">
        <f ca="1"/>
        <v>176.97</v>
      </c>
      <c r="F1363" s="3">
        <f t="shared" ca="1" si="148"/>
        <v>1.0850924024640658</v>
      </c>
      <c r="G1363" s="3">
        <f t="shared" ca="1" si="149"/>
        <v>4.1121149897330591</v>
      </c>
      <c r="H1363" s="3">
        <f t="shared" ca="1" si="150"/>
        <v>1.9196303901437373</v>
      </c>
      <c r="I1363" s="3">
        <f t="shared" ca="1" si="151"/>
        <v>40.77302531980925</v>
      </c>
      <c r="J1363" s="3">
        <f t="shared" ca="1" si="152"/>
        <v>10.759061969439729</v>
      </c>
      <c r="K1363" s="3">
        <f t="shared" ca="1" si="153"/>
        <v>23.047405493870738</v>
      </c>
    </row>
    <row r="1364" spans="3:11" x14ac:dyDescent="0.35">
      <c r="C1364" t="str">
        <f t="shared" ca="1" si="147"/>
        <v>2Q2025</v>
      </c>
      <c r="D1364" vm="2706">
        <f ca="1"/>
        <v>45925</v>
      </c>
      <c r="E1364" vm="2707">
        <f ca="1"/>
        <v>177.69</v>
      </c>
      <c r="F1364" s="3">
        <f t="shared" ca="1" si="148"/>
        <v>1.0850924024640658</v>
      </c>
      <c r="G1364" s="3">
        <f t="shared" ca="1" si="149"/>
        <v>4.1121149897330591</v>
      </c>
      <c r="H1364" s="3">
        <f t="shared" ca="1" si="150"/>
        <v>1.9196303901437373</v>
      </c>
      <c r="I1364" s="3">
        <f t="shared" ca="1" si="151"/>
        <v>40.938909810006805</v>
      </c>
      <c r="J1364" s="3">
        <f t="shared" ca="1" si="152"/>
        <v>10.802835064416261</v>
      </c>
      <c r="K1364" s="3">
        <f t="shared" ca="1" si="153"/>
        <v>23.141173544701878</v>
      </c>
    </row>
    <row r="1365" spans="3:11" x14ac:dyDescent="0.35">
      <c r="C1365" t="str">
        <f t="shared" ca="1" si="147"/>
        <v>2Q2025</v>
      </c>
      <c r="D1365" vm="2708">
        <f ca="1"/>
        <v>45926</v>
      </c>
      <c r="E1365" vm="2709">
        <f ca="1"/>
        <v>178.19</v>
      </c>
      <c r="F1365" s="3">
        <f t="shared" ca="1" si="148"/>
        <v>1.0850924024640658</v>
      </c>
      <c r="G1365" s="3">
        <f t="shared" ca="1" si="149"/>
        <v>4.1121149897330591</v>
      </c>
      <c r="H1365" s="3">
        <f t="shared" ca="1" si="150"/>
        <v>1.9196303901437373</v>
      </c>
      <c r="I1365" s="3">
        <f t="shared" ca="1" si="151"/>
        <v>41.054107372644005</v>
      </c>
      <c r="J1365" s="3">
        <f t="shared" ca="1" si="152"/>
        <v>10.833233047038851</v>
      </c>
      <c r="K1365" s="3">
        <f t="shared" ca="1" si="153"/>
        <v>23.206290246667947</v>
      </c>
    </row>
    <row r="1366" spans="3:11" x14ac:dyDescent="0.35">
      <c r="C1366" t="str">
        <f t="shared" ca="1" si="147"/>
        <v>2Q2025</v>
      </c>
      <c r="D1366" vm="2710">
        <f ca="1"/>
        <v>45929</v>
      </c>
      <c r="E1366" vm="2711">
        <f ca="1"/>
        <v>181.85</v>
      </c>
      <c r="F1366" s="3">
        <f t="shared" ca="1" si="148"/>
        <v>1.0850924024640658</v>
      </c>
      <c r="G1366" s="3">
        <f t="shared" ca="1" si="149"/>
        <v>4.1121149897330591</v>
      </c>
      <c r="H1366" s="3">
        <f t="shared" ca="1" si="150"/>
        <v>1.9196303901437373</v>
      </c>
      <c r="I1366" s="3">
        <f t="shared" ca="1" si="151"/>
        <v>41.897353531148283</v>
      </c>
      <c r="J1366" s="3">
        <f t="shared" ca="1" si="152"/>
        <v>11.055746279836214</v>
      </c>
      <c r="K1366" s="3">
        <f t="shared" ca="1" si="153"/>
        <v>23.682944505059581</v>
      </c>
    </row>
    <row r="1367" spans="3:11" x14ac:dyDescent="0.35">
      <c r="C1367" t="str">
        <f t="shared" ca="1" si="147"/>
        <v>2Q2025</v>
      </c>
      <c r="D1367" vm="2712">
        <f ca="1"/>
        <v>45930</v>
      </c>
      <c r="E1367" vm="2713">
        <f ca="1"/>
        <v>186.58</v>
      </c>
      <c r="F1367" s="3">
        <f t="shared" ca="1" si="148"/>
        <v>1.0850924024640658</v>
      </c>
      <c r="G1367" s="3">
        <f t="shared" ca="1" si="149"/>
        <v>4.1121149897330591</v>
      </c>
      <c r="H1367" s="3">
        <f t="shared" ca="1" si="150"/>
        <v>1.9196303901437373</v>
      </c>
      <c r="I1367" s="3">
        <f t="shared" ca="1" si="151"/>
        <v>42.987122473696161</v>
      </c>
      <c r="J1367" s="3">
        <f t="shared" ca="1" si="152"/>
        <v>11.343311195445922</v>
      </c>
      <c r="K1367" s="3">
        <f t="shared" ca="1" si="153"/>
        <v>24.298948505658601</v>
      </c>
    </row>
    <row r="1368" spans="3:11" x14ac:dyDescent="0.35">
      <c r="C1368" t="str">
        <f t="shared" ca="1" si="147"/>
        <v>2Q2025</v>
      </c>
      <c r="D1368" vm="2714">
        <f ca="1"/>
        <v>45931</v>
      </c>
      <c r="E1368" vm="2715">
        <f ca="1"/>
        <v>187.24</v>
      </c>
      <c r="F1368" s="3">
        <f t="shared" ca="1" si="148"/>
        <v>1.0850924024640658</v>
      </c>
      <c r="G1368" s="3">
        <f t="shared" ca="1" si="149"/>
        <v>4.1121149897330591</v>
      </c>
      <c r="H1368" s="3">
        <f t="shared" ca="1" si="150"/>
        <v>1.9196303901437373</v>
      </c>
      <c r="I1368" s="3">
        <f t="shared" ca="1" si="151"/>
        <v>43.139183256377258</v>
      </c>
      <c r="J1368" s="3">
        <f t="shared" ca="1" si="152"/>
        <v>11.383436532507742</v>
      </c>
      <c r="K1368" s="3">
        <f t="shared" ca="1" si="153"/>
        <v>24.384902552253813</v>
      </c>
    </row>
    <row r="1369" spans="3:11" x14ac:dyDescent="0.35">
      <c r="C1369" t="str">
        <f t="shared" ca="1" si="147"/>
        <v>2Q2025</v>
      </c>
      <c r="D1369" vm="2716">
        <f ca="1"/>
        <v>45932</v>
      </c>
      <c r="E1369" vm="2717">
        <f ca="1"/>
        <v>188.89</v>
      </c>
      <c r="F1369" s="3">
        <f t="shared" ca="1" si="148"/>
        <v>1.0850924024640658</v>
      </c>
      <c r="G1369" s="3">
        <f t="shared" ca="1" si="149"/>
        <v>4.1121149897330591</v>
      </c>
      <c r="H1369" s="3">
        <f t="shared" ca="1" si="150"/>
        <v>1.9196303901437373</v>
      </c>
      <c r="I1369" s="3">
        <f t="shared" ca="1" si="151"/>
        <v>43.519335213080005</v>
      </c>
      <c r="J1369" s="3">
        <f t="shared" ca="1" si="152"/>
        <v>11.483749875162289</v>
      </c>
      <c r="K1369" s="3">
        <f t="shared" ca="1" si="153"/>
        <v>24.59978766874184</v>
      </c>
    </row>
    <row r="1370" spans="3:11" x14ac:dyDescent="0.35">
      <c r="C1370" t="str">
        <f t="shared" ca="1" si="147"/>
        <v>2Q2025</v>
      </c>
      <c r="D1370" vm="2718">
        <f ca="1"/>
        <v>45933</v>
      </c>
      <c r="E1370" vm="2719">
        <f ca="1"/>
        <v>187.62</v>
      </c>
      <c r="F1370" s="3">
        <f t="shared" ca="1" si="148"/>
        <v>1.0850924024640658</v>
      </c>
      <c r="G1370" s="3">
        <f t="shared" ca="1" si="149"/>
        <v>4.1121149897330591</v>
      </c>
      <c r="H1370" s="3">
        <f t="shared" ca="1" si="150"/>
        <v>1.9196303901437373</v>
      </c>
      <c r="I1370" s="3">
        <f t="shared" ca="1" si="151"/>
        <v>43.226733403981527</v>
      </c>
      <c r="J1370" s="3">
        <f t="shared" ca="1" si="152"/>
        <v>11.40653899930091</v>
      </c>
      <c r="K1370" s="3">
        <f t="shared" ca="1" si="153"/>
        <v>24.434391245748024</v>
      </c>
    </row>
    <row r="1371" spans="3:11" x14ac:dyDescent="0.35">
      <c r="C1371" t="str">
        <f t="shared" ca="1" si="147"/>
        <v>2Q2025</v>
      </c>
      <c r="D1371" vm="2720">
        <f ca="1"/>
        <v>45936</v>
      </c>
      <c r="E1371" vm="2721">
        <f ca="1"/>
        <v>185.54</v>
      </c>
      <c r="F1371" s="3">
        <f t="shared" ca="1" si="148"/>
        <v>1.0850924024640658</v>
      </c>
      <c r="G1371" s="3">
        <f t="shared" ca="1" si="149"/>
        <v>4.1121149897330591</v>
      </c>
      <c r="H1371" s="3">
        <f t="shared" ca="1" si="150"/>
        <v>1.9196303901437373</v>
      </c>
      <c r="I1371" s="3">
        <f t="shared" ca="1" si="151"/>
        <v>42.747511543410788</v>
      </c>
      <c r="J1371" s="3">
        <f t="shared" ca="1" si="152"/>
        <v>11.280083391590933</v>
      </c>
      <c r="K1371" s="3">
        <f t="shared" ca="1" si="153"/>
        <v>24.163505765569173</v>
      </c>
    </row>
    <row r="1372" spans="3:11" x14ac:dyDescent="0.35">
      <c r="C1372" t="str">
        <f t="shared" ca="1" si="147"/>
        <v>2Q2025</v>
      </c>
      <c r="D1372" vm="2722">
        <f ca="1"/>
        <v>45937</v>
      </c>
      <c r="E1372" vm="2723">
        <f ca="1"/>
        <v>185.04</v>
      </c>
      <c r="F1372" s="3">
        <f t="shared" ca="1" si="148"/>
        <v>1.0850924024640658</v>
      </c>
      <c r="G1372" s="3">
        <f t="shared" ca="1" si="149"/>
        <v>4.1121149897330591</v>
      </c>
      <c r="H1372" s="3">
        <f t="shared" ca="1" si="150"/>
        <v>1.9196303901437373</v>
      </c>
      <c r="I1372" s="3">
        <f t="shared" ca="1" si="151"/>
        <v>42.632313980773596</v>
      </c>
      <c r="J1372" s="3">
        <f t="shared" ca="1" si="152"/>
        <v>11.249685408968341</v>
      </c>
      <c r="K1372" s="3">
        <f t="shared" ca="1" si="153"/>
        <v>24.098389063603104</v>
      </c>
    </row>
    <row r="1373" spans="3:11" x14ac:dyDescent="0.35">
      <c r="C1373" t="str">
        <f t="shared" ca="1" si="147"/>
        <v>2Q2025</v>
      </c>
      <c r="D1373" vm="2724">
        <f ca="1"/>
        <v>45938</v>
      </c>
      <c r="E1373" vm="2725">
        <f ca="1"/>
        <v>189.11</v>
      </c>
      <c r="F1373" s="3">
        <f t="shared" ca="1" si="148"/>
        <v>1.0850924024640658</v>
      </c>
      <c r="G1373" s="3">
        <f t="shared" ca="1" si="149"/>
        <v>4.1121149897330591</v>
      </c>
      <c r="H1373" s="3">
        <f t="shared" ca="1" si="150"/>
        <v>1.9196303901437373</v>
      </c>
      <c r="I1373" s="3">
        <f t="shared" ca="1" si="151"/>
        <v>43.570022140640376</v>
      </c>
      <c r="J1373" s="3">
        <f t="shared" ca="1" si="152"/>
        <v>11.497124987516232</v>
      </c>
      <c r="K1373" s="3">
        <f t="shared" ca="1" si="153"/>
        <v>24.628439017606915</v>
      </c>
    </row>
    <row r="1374" spans="3:11" x14ac:dyDescent="0.35">
      <c r="C1374" t="str">
        <f t="shared" ca="1" si="147"/>
        <v>2Q2025</v>
      </c>
      <c r="D1374" vm="2726">
        <f ca="1"/>
        <v>45939</v>
      </c>
      <c r="E1374" vm="2727">
        <f ca="1"/>
        <v>192.57</v>
      </c>
      <c r="F1374" s="3">
        <f t="shared" ca="1" si="148"/>
        <v>1.0850924024640658</v>
      </c>
      <c r="G1374" s="3">
        <f t="shared" ca="1" si="149"/>
        <v>4.1121149897330591</v>
      </c>
      <c r="H1374" s="3">
        <f t="shared" ca="1" si="150"/>
        <v>1.9196303901437373</v>
      </c>
      <c r="I1374" s="3">
        <f t="shared" ca="1" si="151"/>
        <v>44.367189274089768</v>
      </c>
      <c r="J1374" s="3">
        <f t="shared" ca="1" si="152"/>
        <v>11.707479027264556</v>
      </c>
      <c r="K1374" s="3">
        <f t="shared" ca="1" si="153"/>
        <v>25.079046595212116</v>
      </c>
    </row>
    <row r="1375" spans="3:11" x14ac:dyDescent="0.35">
      <c r="C1375" t="str">
        <f t="shared" ca="1" si="147"/>
        <v>2Q2025</v>
      </c>
      <c r="D1375" vm="2728">
        <f ca="1"/>
        <v>45940</v>
      </c>
      <c r="E1375" vm="2646">
        <f ca="1"/>
        <v>183.16</v>
      </c>
      <c r="F1375" s="3">
        <f t="shared" ca="1" si="148"/>
        <v>1.0850924024640658</v>
      </c>
      <c r="G1375" s="3">
        <f t="shared" ca="1" si="149"/>
        <v>4.1121149897330591</v>
      </c>
      <c r="H1375" s="3">
        <f t="shared" ca="1" si="150"/>
        <v>1.9196303901437373</v>
      </c>
      <c r="I1375" s="3">
        <f t="shared" ca="1" si="151"/>
        <v>42.199171145257736</v>
      </c>
      <c r="J1375" s="3">
        <f t="shared" ca="1" si="152"/>
        <v>11.135388994307402</v>
      </c>
      <c r="K1375" s="3">
        <f t="shared" ca="1" si="153"/>
        <v>23.853550264210682</v>
      </c>
    </row>
    <row r="1376" spans="3:11" x14ac:dyDescent="0.35">
      <c r="C1376" t="str">
        <f t="shared" ca="1" si="147"/>
        <v>2Q2025</v>
      </c>
      <c r="D1376" vm="2729">
        <f ca="1"/>
        <v>45943</v>
      </c>
      <c r="E1376" vm="2730">
        <f ca="1"/>
        <v>188.32</v>
      </c>
      <c r="F1376" s="3">
        <f t="shared" ca="1" si="148"/>
        <v>1.0850924024640658</v>
      </c>
      <c r="G1376" s="3">
        <f t="shared" ca="1" si="149"/>
        <v>4.1121149897330591</v>
      </c>
      <c r="H1376" s="3">
        <f t="shared" ca="1" si="150"/>
        <v>1.9196303901437373</v>
      </c>
      <c r="I1376" s="3">
        <f t="shared" ca="1" si="151"/>
        <v>43.388009991673599</v>
      </c>
      <c r="J1376" s="3">
        <f t="shared" ca="1" si="152"/>
        <v>11.449096174972537</v>
      </c>
      <c r="K1376" s="3">
        <f t="shared" ca="1" si="153"/>
        <v>24.525554628500522</v>
      </c>
    </row>
    <row r="1377" spans="3:11" x14ac:dyDescent="0.35">
      <c r="C1377" t="str">
        <f t="shared" ca="1" si="147"/>
        <v>2Q2025</v>
      </c>
      <c r="D1377" vm="2731">
        <f ca="1"/>
        <v>45944</v>
      </c>
      <c r="E1377" vm="2732">
        <f ca="1"/>
        <v>180.03</v>
      </c>
      <c r="F1377" s="3">
        <f t="shared" ca="1" si="148"/>
        <v>1.0850924024640658</v>
      </c>
      <c r="G1377" s="3">
        <f t="shared" ca="1" si="149"/>
        <v>4.1121149897330591</v>
      </c>
      <c r="H1377" s="3">
        <f t="shared" ca="1" si="150"/>
        <v>1.9196303901437373</v>
      </c>
      <c r="I1377" s="3">
        <f t="shared" ca="1" si="151"/>
        <v>41.478034403148889</v>
      </c>
      <c r="J1377" s="3">
        <f t="shared" ca="1" si="152"/>
        <v>10.945097623089984</v>
      </c>
      <c r="K1377" s="3">
        <f t="shared" ca="1" si="153"/>
        <v>23.445919709903087</v>
      </c>
    </row>
    <row r="1378" spans="3:11" x14ac:dyDescent="0.35">
      <c r="C1378" t="str">
        <f t="shared" ca="1" si="147"/>
        <v>2Q2025</v>
      </c>
      <c r="D1378" vm="2733">
        <f ca="1"/>
        <v>45945</v>
      </c>
      <c r="E1378" vm="2734">
        <f ca="1"/>
        <v>179.83</v>
      </c>
      <c r="F1378" s="3">
        <f t="shared" ca="1" si="148"/>
        <v>1.0850924024640658</v>
      </c>
      <c r="G1378" s="3">
        <f t="shared" ca="1" si="149"/>
        <v>4.1121149897330591</v>
      </c>
      <c r="H1378" s="3">
        <f t="shared" ca="1" si="150"/>
        <v>1.9196303901437373</v>
      </c>
      <c r="I1378" s="3">
        <f t="shared" ca="1" si="151"/>
        <v>41.43195537809401</v>
      </c>
      <c r="J1378" s="3">
        <f t="shared" ca="1" si="152"/>
        <v>10.932938430040949</v>
      </c>
      <c r="K1378" s="3">
        <f t="shared" ca="1" si="153"/>
        <v>23.419873029116658</v>
      </c>
    </row>
    <row r="1379" spans="3:11" x14ac:dyDescent="0.35">
      <c r="C1379" t="str">
        <f t="shared" ca="1" si="147"/>
        <v>2Q2025</v>
      </c>
      <c r="D1379" vm="2735">
        <f ca="1"/>
        <v>45946</v>
      </c>
      <c r="E1379" vm="2736">
        <f ca="1"/>
        <v>181.81</v>
      </c>
      <c r="F1379" s="3">
        <f t="shared" ca="1" si="148"/>
        <v>1.0850924024640658</v>
      </c>
      <c r="G1379" s="3">
        <f t="shared" ca="1" si="149"/>
        <v>4.1121149897330591</v>
      </c>
      <c r="H1379" s="3">
        <f t="shared" ca="1" si="150"/>
        <v>1.9196303901437373</v>
      </c>
      <c r="I1379" s="3">
        <f t="shared" ca="1" si="151"/>
        <v>41.888137726137309</v>
      </c>
      <c r="J1379" s="3">
        <f t="shared" ca="1" si="152"/>
        <v>11.053314441226407</v>
      </c>
      <c r="K1379" s="3">
        <f t="shared" ca="1" si="153"/>
        <v>23.677735168902295</v>
      </c>
    </row>
    <row r="1380" spans="3:11" x14ac:dyDescent="0.35">
      <c r="C1380" t="str">
        <f t="shared" ca="1" si="147"/>
        <v>2Q2025</v>
      </c>
      <c r="D1380" vm="2737">
        <f ca="1"/>
        <v>45947</v>
      </c>
      <c r="E1380" vm="2738">
        <f ca="1"/>
        <v>183.22</v>
      </c>
      <c r="F1380" s="3">
        <f t="shared" ca="1" si="148"/>
        <v>1.0850924024640658</v>
      </c>
      <c r="G1380" s="3">
        <f t="shared" ca="1" si="149"/>
        <v>4.1121149897330591</v>
      </c>
      <c r="H1380" s="3">
        <f t="shared" ca="1" si="150"/>
        <v>1.9196303901437373</v>
      </c>
      <c r="I1380" s="3">
        <f t="shared" ca="1" si="151"/>
        <v>42.212994852774202</v>
      </c>
      <c r="J1380" s="3">
        <f t="shared" ca="1" si="152"/>
        <v>11.139036752222113</v>
      </c>
      <c r="K1380" s="3">
        <f t="shared" ca="1" si="153"/>
        <v>23.861364268446611</v>
      </c>
    </row>
    <row r="1381" spans="3:11" x14ac:dyDescent="0.35">
      <c r="C1381" t="str">
        <f t="shared" ca="1" si="147"/>
        <v>2Q2025</v>
      </c>
      <c r="D1381" vm="2739">
        <f ca="1"/>
        <v>45950</v>
      </c>
      <c r="E1381" vm="2740">
        <f ca="1"/>
        <v>182.64</v>
      </c>
      <c r="F1381" s="3">
        <f t="shared" ca="1" si="148"/>
        <v>1.0850924024640658</v>
      </c>
      <c r="G1381" s="3">
        <f t="shared" ca="1" si="149"/>
        <v>4.1121149897330591</v>
      </c>
      <c r="H1381" s="3">
        <f t="shared" ca="1" si="150"/>
        <v>1.9196303901437373</v>
      </c>
      <c r="I1381" s="3">
        <f t="shared" ca="1" si="151"/>
        <v>42.079365680115046</v>
      </c>
      <c r="J1381" s="3">
        <f t="shared" ca="1" si="152"/>
        <v>11.103775092379907</v>
      </c>
      <c r="K1381" s="3">
        <f t="shared" ca="1" si="153"/>
        <v>23.78582889416597</v>
      </c>
    </row>
    <row r="1382" spans="3:11" x14ac:dyDescent="0.35">
      <c r="C1382" t="str">
        <f t="shared" ca="1" si="147"/>
        <v>2Q2025</v>
      </c>
      <c r="D1382" vm="2741">
        <f ca="1"/>
        <v>45951</v>
      </c>
      <c r="E1382" vm="2742">
        <f ca="1"/>
        <v>181.16</v>
      </c>
      <c r="F1382" s="3">
        <f t="shared" ca="1" si="148"/>
        <v>1.0850924024640658</v>
      </c>
      <c r="G1382" s="3">
        <f t="shared" ca="1" si="149"/>
        <v>4.1121149897330591</v>
      </c>
      <c r="H1382" s="3">
        <f t="shared" ca="1" si="150"/>
        <v>1.9196303901437373</v>
      </c>
      <c r="I1382" s="3">
        <f t="shared" ca="1" si="151"/>
        <v>41.738380894708953</v>
      </c>
      <c r="J1382" s="3">
        <f t="shared" ca="1" si="152"/>
        <v>11.013797063817039</v>
      </c>
      <c r="K1382" s="3">
        <f t="shared" ca="1" si="153"/>
        <v>23.593083456346402</v>
      </c>
    </row>
    <row r="1383" spans="3:11" x14ac:dyDescent="0.35">
      <c r="C1383" t="str">
        <f t="shared" ca="1" si="147"/>
        <v>2Q2025</v>
      </c>
      <c r="D1383" vm="2743">
        <f ca="1"/>
        <v>45952</v>
      </c>
      <c r="E1383" vm="2744">
        <f ca="1"/>
        <v>180.28</v>
      </c>
      <c r="F1383" s="3">
        <f t="shared" ca="1" si="148"/>
        <v>1.0850924024640658</v>
      </c>
      <c r="G1383" s="3">
        <f t="shared" ca="1" si="149"/>
        <v>4.1121149897330591</v>
      </c>
      <c r="H1383" s="3">
        <f t="shared" ca="1" si="150"/>
        <v>1.9196303901437373</v>
      </c>
      <c r="I1383" s="3">
        <f t="shared" ca="1" si="151"/>
        <v>41.535633184467486</v>
      </c>
      <c r="J1383" s="3">
        <f t="shared" ca="1" si="152"/>
        <v>10.96029661440128</v>
      </c>
      <c r="K1383" s="3">
        <f t="shared" ca="1" si="153"/>
        <v>23.478478060886122</v>
      </c>
    </row>
    <row r="1384" spans="3:11" x14ac:dyDescent="0.35">
      <c r="C1384" t="str">
        <f t="shared" ca="1" si="147"/>
        <v>2Q2025</v>
      </c>
      <c r="D1384" vm="2745">
        <f ca="1"/>
        <v>45953</v>
      </c>
      <c r="E1384" vm="2746">
        <f ca="1"/>
        <v>182.16</v>
      </c>
      <c r="F1384" s="3">
        <f t="shared" ca="1" si="148"/>
        <v>1.0850924024640658</v>
      </c>
      <c r="G1384" s="3">
        <f t="shared" ca="1" si="149"/>
        <v>4.1121149897330591</v>
      </c>
      <c r="H1384" s="3">
        <f t="shared" ca="1" si="150"/>
        <v>1.9196303901437373</v>
      </c>
      <c r="I1384" s="3">
        <f t="shared" ca="1" si="151"/>
        <v>41.968776019983345</v>
      </c>
      <c r="J1384" s="3">
        <f t="shared" ca="1" si="152"/>
        <v>11.074593029062219</v>
      </c>
      <c r="K1384" s="3">
        <f t="shared" ca="1" si="153"/>
        <v>23.723316860278544</v>
      </c>
    </row>
    <row r="1385" spans="3:11" x14ac:dyDescent="0.35">
      <c r="C1385" t="str">
        <f t="shared" ca="1" si="147"/>
        <v>2Q2025</v>
      </c>
      <c r="D1385" vm="2747">
        <f ca="1"/>
        <v>45954</v>
      </c>
      <c r="E1385" vm="2748">
        <f ca="1"/>
        <v>186.26</v>
      </c>
      <c r="F1385" s="3">
        <f t="shared" ca="1" si="148"/>
        <v>1.0850924024640658</v>
      </c>
      <c r="G1385" s="3">
        <f t="shared" ca="1" si="149"/>
        <v>4.1121149897330591</v>
      </c>
      <c r="H1385" s="3">
        <f t="shared" ca="1" si="150"/>
        <v>1.9196303901437373</v>
      </c>
      <c r="I1385" s="3">
        <f t="shared" ca="1" si="151"/>
        <v>42.91339603360835</v>
      </c>
      <c r="J1385" s="3">
        <f t="shared" ca="1" si="152"/>
        <v>11.323856486567463</v>
      </c>
      <c r="K1385" s="3">
        <f t="shared" ca="1" si="153"/>
        <v>24.257273816400314</v>
      </c>
    </row>
    <row r="1386" spans="3:11" x14ac:dyDescent="0.35">
      <c r="C1386" t="str">
        <f t="shared" ca="1" si="147"/>
        <v>3Q2025</v>
      </c>
      <c r="D1386" vm="2749">
        <f ca="1"/>
        <v>45957</v>
      </c>
      <c r="E1386" vm="2750">
        <f ca="1"/>
        <v>191.49</v>
      </c>
      <c r="F1386" s="3">
        <f t="shared" ca="1" si="148"/>
        <v>1.3131687242798353</v>
      </c>
      <c r="G1386" s="3">
        <f t="shared" ca="1" si="149"/>
        <v>4.8930041152263373</v>
      </c>
      <c r="H1386" s="3">
        <f t="shared" ca="1" si="150"/>
        <v>2.345925925925926</v>
      </c>
      <c r="I1386" s="3">
        <f t="shared" ca="1" si="151"/>
        <v>36.455711375744286</v>
      </c>
      <c r="J1386" s="3">
        <f t="shared" ca="1" si="152"/>
        <v>9.7838666947014303</v>
      </c>
      <c r="K1386" s="3">
        <f t="shared" ca="1" si="153"/>
        <v>20.406654562677613</v>
      </c>
    </row>
    <row r="1387" spans="3:11" x14ac:dyDescent="0.35">
      <c r="C1387" t="str">
        <f t="shared" ca="1" si="147"/>
        <v>3Q2025</v>
      </c>
      <c r="D1387" vm="2751">
        <f ca="1"/>
        <v>45958</v>
      </c>
      <c r="E1387" vm="2752">
        <f ca="1"/>
        <v>201.03</v>
      </c>
      <c r="F1387" s="3">
        <f t="shared" ca="1" si="148"/>
        <v>1.3131687242798353</v>
      </c>
      <c r="G1387" s="3">
        <f t="shared" ca="1" si="149"/>
        <v>4.8930041152263373</v>
      </c>
      <c r="H1387" s="3">
        <f t="shared" ca="1" si="150"/>
        <v>2.345925925925926</v>
      </c>
      <c r="I1387" s="3">
        <f t="shared" ca="1" si="151"/>
        <v>38.271928862425575</v>
      </c>
      <c r="J1387" s="3">
        <f t="shared" ca="1" si="152"/>
        <v>10.271297308662742</v>
      </c>
      <c r="K1387" s="3">
        <f t="shared" ca="1" si="153"/>
        <v>21.423310704136405</v>
      </c>
    </row>
    <row r="1388" spans="3:11" x14ac:dyDescent="0.35">
      <c r="C1388" t="str">
        <f t="shared" ca="1" si="147"/>
        <v>3Q2025</v>
      </c>
      <c r="D1388" vm="2753">
        <f ca="1"/>
        <v>45959</v>
      </c>
      <c r="E1388" vm="2754">
        <f ca="1"/>
        <v>207.04</v>
      </c>
      <c r="F1388" s="3">
        <f t="shared" ca="1" si="148"/>
        <v>1.3131687242798353</v>
      </c>
      <c r="G1388" s="3">
        <f t="shared" ca="1" si="149"/>
        <v>4.8930041152263373</v>
      </c>
      <c r="H1388" s="3">
        <f t="shared" ca="1" si="150"/>
        <v>2.345925925925926</v>
      </c>
      <c r="I1388" s="3">
        <f t="shared" ca="1" si="151"/>
        <v>39.416107803196489</v>
      </c>
      <c r="J1388" s="3">
        <f t="shared" ca="1" si="152"/>
        <v>10.578368376787216</v>
      </c>
      <c r="K1388" s="3">
        <f t="shared" ca="1" si="153"/>
        <v>22.063782759709504</v>
      </c>
    </row>
    <row r="1389" spans="3:11" x14ac:dyDescent="0.35">
      <c r="C1389" t="str">
        <f t="shared" ca="1" si="147"/>
        <v>3Q2025</v>
      </c>
      <c r="D1389" vm="2755">
        <f ca="1"/>
        <v>45960</v>
      </c>
      <c r="E1389" vm="2756">
        <f ca="1"/>
        <v>202.89</v>
      </c>
      <c r="F1389" s="3">
        <f t="shared" ca="1" si="148"/>
        <v>1.3131687242798353</v>
      </c>
      <c r="G1389" s="3">
        <f t="shared" ca="1" si="149"/>
        <v>4.8930041152263373</v>
      </c>
      <c r="H1389" s="3">
        <f t="shared" ca="1" si="150"/>
        <v>2.345925925925926</v>
      </c>
      <c r="I1389" s="3">
        <f t="shared" ca="1" si="151"/>
        <v>38.626034158570981</v>
      </c>
      <c r="J1389" s="3">
        <f t="shared" ca="1" si="152"/>
        <v>10.366330950378469</v>
      </c>
      <c r="K1389" s="3">
        <f t="shared" ca="1" si="153"/>
        <v>21.621526681401956</v>
      </c>
    </row>
    <row r="1390" spans="3:11" x14ac:dyDescent="0.35">
      <c r="C1390" t="str">
        <f t="shared" ca="1" si="147"/>
        <v>3Q2025</v>
      </c>
      <c r="D1390" vm="2757">
        <f ca="1"/>
        <v>45961</v>
      </c>
      <c r="E1390" vm="2758">
        <f ca="1"/>
        <v>202.49</v>
      </c>
      <c r="F1390" s="3">
        <f t="shared" ca="1" si="148"/>
        <v>1.3131687242798353</v>
      </c>
      <c r="G1390" s="3">
        <f t="shared" ca="1" si="149"/>
        <v>4.8930041152263373</v>
      </c>
      <c r="H1390" s="3">
        <f t="shared" ca="1" si="150"/>
        <v>2.345925925925926</v>
      </c>
      <c r="I1390" s="3">
        <f t="shared" ca="1" si="151"/>
        <v>38.549882481980575</v>
      </c>
      <c r="J1390" s="3">
        <f t="shared" ca="1" si="152"/>
        <v>10.345893608074013</v>
      </c>
      <c r="K1390" s="3">
        <f t="shared" ca="1" si="153"/>
        <v>21.578899589516894</v>
      </c>
    </row>
    <row r="1391" spans="3:11" x14ac:dyDescent="0.35">
      <c r="C1391" t="str">
        <f t="shared" ca="1" si="147"/>
        <v>3Q2025</v>
      </c>
      <c r="D1391" vm="2759">
        <f ca="1"/>
        <v>45964</v>
      </c>
      <c r="E1391" vm="2760">
        <f ca="1"/>
        <v>206.88</v>
      </c>
      <c r="F1391" s="3">
        <f t="shared" ca="1" si="148"/>
        <v>1.3131687242798353</v>
      </c>
      <c r="G1391" s="3">
        <f t="shared" ca="1" si="149"/>
        <v>4.8930041152263373</v>
      </c>
      <c r="H1391" s="3">
        <f t="shared" ca="1" si="150"/>
        <v>2.345925925925926</v>
      </c>
      <c r="I1391" s="3">
        <f t="shared" ca="1" si="151"/>
        <v>39.385647132560329</v>
      </c>
      <c r="J1391" s="3">
        <f t="shared" ca="1" si="152"/>
        <v>10.570193439865433</v>
      </c>
      <c r="K1391" s="3">
        <f t="shared" ca="1" si="153"/>
        <v>22.046731922955477</v>
      </c>
    </row>
    <row r="1392" spans="3:11" x14ac:dyDescent="0.35">
      <c r="C1392" t="str">
        <f t="shared" ca="1" si="147"/>
        <v>3Q2025</v>
      </c>
      <c r="D1392" vm="2761">
        <f ca="1"/>
        <v>45965</v>
      </c>
      <c r="E1392" vm="2762">
        <f ca="1"/>
        <v>198.69</v>
      </c>
      <c r="F1392" s="3">
        <f t="shared" ca="1" si="148"/>
        <v>1.3131687242798353</v>
      </c>
      <c r="G1392" s="3">
        <f t="shared" ca="1" si="149"/>
        <v>4.8930041152263373</v>
      </c>
      <c r="H1392" s="3">
        <f t="shared" ca="1" si="150"/>
        <v>2.345925925925926</v>
      </c>
      <c r="I1392" s="3">
        <f t="shared" ca="1" si="151"/>
        <v>37.826441554371669</v>
      </c>
      <c r="J1392" s="3">
        <f t="shared" ca="1" si="152"/>
        <v>10.151738856181666</v>
      </c>
      <c r="K1392" s="3">
        <f t="shared" ca="1" si="153"/>
        <v>21.173942216608776</v>
      </c>
    </row>
    <row r="1393" spans="3:11" x14ac:dyDescent="0.35">
      <c r="C1393" t="str">
        <f t="shared" ca="1" si="147"/>
        <v>3Q2025</v>
      </c>
      <c r="D1393" vm="2763">
        <f ca="1"/>
        <v>45966</v>
      </c>
      <c r="E1393" vm="2764">
        <f ca="1"/>
        <v>195.21</v>
      </c>
      <c r="F1393" s="3">
        <f t="shared" ca="1" si="148"/>
        <v>1.3131687242798353</v>
      </c>
      <c r="G1393" s="3">
        <f t="shared" ca="1" si="149"/>
        <v>4.8930041152263373</v>
      </c>
      <c r="H1393" s="3">
        <f t="shared" ca="1" si="150"/>
        <v>2.345925925925926</v>
      </c>
      <c r="I1393" s="3">
        <f t="shared" ca="1" si="151"/>
        <v>37.163921968035105</v>
      </c>
      <c r="J1393" s="3">
        <f t="shared" ca="1" si="152"/>
        <v>9.9739339781328855</v>
      </c>
      <c r="K1393" s="3">
        <f t="shared" ca="1" si="153"/>
        <v>20.803086517208715</v>
      </c>
    </row>
    <row r="1394" spans="3:11" x14ac:dyDescent="0.35">
      <c r="C1394" t="str">
        <f t="shared" ca="1" si="147"/>
        <v>3Q2025</v>
      </c>
      <c r="D1394" vm="2765">
        <f ca="1"/>
        <v>45967</v>
      </c>
      <c r="E1394" vm="2766">
        <f ca="1"/>
        <v>188.08</v>
      </c>
      <c r="F1394" s="3">
        <f t="shared" ca="1" si="148"/>
        <v>1.3131687242798353</v>
      </c>
      <c r="G1394" s="3">
        <f t="shared" ca="1" si="149"/>
        <v>4.8930041152263373</v>
      </c>
      <c r="H1394" s="3">
        <f t="shared" ca="1" si="150"/>
        <v>2.345925925925926</v>
      </c>
      <c r="I1394" s="3">
        <f t="shared" ca="1" si="151"/>
        <v>35.806518332811038</v>
      </c>
      <c r="J1394" s="3">
        <f t="shared" ca="1" si="152"/>
        <v>9.6096383515559296</v>
      </c>
      <c r="K1394" s="3">
        <f t="shared" ca="1" si="153"/>
        <v>20.043258604357437</v>
      </c>
    </row>
    <row r="1395" spans="3:11" x14ac:dyDescent="0.35">
      <c r="C1395" t="str">
        <f t="shared" ca="1" si="147"/>
        <v>3Q2025</v>
      </c>
      <c r="D1395" vm="2767">
        <f ca="1"/>
        <v>45968</v>
      </c>
      <c r="E1395" vm="2768">
        <f ca="1"/>
        <v>188.15</v>
      </c>
      <c r="F1395" s="3">
        <f t="shared" ca="1" si="148"/>
        <v>1.3131687242798353</v>
      </c>
      <c r="G1395" s="3">
        <f t="shared" ca="1" si="149"/>
        <v>4.8930041152263373</v>
      </c>
      <c r="H1395" s="3">
        <f t="shared" ca="1" si="150"/>
        <v>2.345925925925926</v>
      </c>
      <c r="I1395" s="3">
        <f t="shared" ca="1" si="151"/>
        <v>35.819844876214354</v>
      </c>
      <c r="J1395" s="3">
        <f t="shared" ca="1" si="152"/>
        <v>9.6132148864592093</v>
      </c>
      <c r="K1395" s="3">
        <f t="shared" ca="1" si="153"/>
        <v>20.050718345437321</v>
      </c>
    </row>
    <row r="1396" spans="3:11" x14ac:dyDescent="0.35">
      <c r="C1396" t="str">
        <f t="shared" ca="1" si="147"/>
        <v>3Q2025</v>
      </c>
      <c r="D1396" vm="2769">
        <f ca="1"/>
        <v>45971</v>
      </c>
      <c r="E1396" vm="2770">
        <f ca="1"/>
        <v>199.05</v>
      </c>
      <c r="F1396" s="3">
        <f t="shared" ca="1" si="148"/>
        <v>1.3131687242798353</v>
      </c>
      <c r="G1396" s="3">
        <f t="shared" ca="1" si="149"/>
        <v>4.8930041152263373</v>
      </c>
      <c r="H1396" s="3">
        <f t="shared" ca="1" si="150"/>
        <v>2.345925925925926</v>
      </c>
      <c r="I1396" s="3">
        <f t="shared" ca="1" si="151"/>
        <v>37.894978063303043</v>
      </c>
      <c r="J1396" s="3">
        <f t="shared" ca="1" si="152"/>
        <v>10.170132464255678</v>
      </c>
      <c r="K1396" s="3">
        <f t="shared" ca="1" si="153"/>
        <v>21.212306599305336</v>
      </c>
    </row>
    <row r="1397" spans="3:11" x14ac:dyDescent="0.35">
      <c r="C1397" t="str">
        <f t="shared" ca="1" si="147"/>
        <v>3Q2025</v>
      </c>
      <c r="D1397" vm="2771">
        <f ca="1"/>
        <v>45972</v>
      </c>
      <c r="E1397" vm="2772">
        <f ca="1"/>
        <v>193.16</v>
      </c>
      <c r="F1397" s="3">
        <f t="shared" ca="1" si="148"/>
        <v>1.3131687242798353</v>
      </c>
      <c r="G1397" s="3">
        <f t="shared" ca="1" si="149"/>
        <v>4.8930041152263373</v>
      </c>
      <c r="H1397" s="3">
        <f t="shared" ca="1" si="150"/>
        <v>2.345925925925926</v>
      </c>
      <c r="I1397" s="3">
        <f t="shared" ca="1" si="151"/>
        <v>36.773644625509249</v>
      </c>
      <c r="J1397" s="3">
        <f t="shared" ca="1" si="152"/>
        <v>9.86919259882254</v>
      </c>
      <c r="K1397" s="3">
        <f t="shared" ca="1" si="153"/>
        <v>20.584622671297758</v>
      </c>
    </row>
    <row r="1398" spans="3:11" x14ac:dyDescent="0.35">
      <c r="C1398" t="str">
        <f t="shared" ca="1" si="147"/>
        <v>3Q2025</v>
      </c>
      <c r="D1398" vm="2773">
        <f ca="1"/>
        <v>45973</v>
      </c>
      <c r="E1398" vm="2774">
        <f ca="1"/>
        <v>193.8</v>
      </c>
      <c r="F1398" s="3">
        <f t="shared" ca="1" si="148"/>
        <v>1.3131687242798353</v>
      </c>
      <c r="G1398" s="3">
        <f t="shared" ca="1" si="149"/>
        <v>4.8930041152263373</v>
      </c>
      <c r="H1398" s="3">
        <f t="shared" ca="1" si="150"/>
        <v>2.345925925925926</v>
      </c>
      <c r="I1398" s="3">
        <f t="shared" ca="1" si="151"/>
        <v>36.895487308053909</v>
      </c>
      <c r="J1398" s="3">
        <f t="shared" ca="1" si="152"/>
        <v>9.9018923465096726</v>
      </c>
      <c r="K1398" s="3">
        <f t="shared" ca="1" si="153"/>
        <v>20.652826018313863</v>
      </c>
    </row>
    <row r="1399" spans="3:11" x14ac:dyDescent="0.35">
      <c r="C1399" t="str">
        <f t="shared" ca="1" si="147"/>
        <v>3Q2025</v>
      </c>
      <c r="D1399" vm="2775">
        <f ca="1"/>
        <v>45974</v>
      </c>
      <c r="E1399" vm="2776">
        <f ca="1"/>
        <v>186.86</v>
      </c>
      <c r="F1399" s="3">
        <f t="shared" ca="1" si="148"/>
        <v>1.3131687242798353</v>
      </c>
      <c r="G1399" s="3">
        <f t="shared" ca="1" si="149"/>
        <v>4.8930041152263373</v>
      </c>
      <c r="H1399" s="3">
        <f t="shared" ca="1" si="150"/>
        <v>2.345925925925926</v>
      </c>
      <c r="I1399" s="3">
        <f t="shared" ca="1" si="151"/>
        <v>35.574255719210285</v>
      </c>
      <c r="J1399" s="3">
        <f t="shared" ca="1" si="152"/>
        <v>9.5473044575273356</v>
      </c>
      <c r="K1399" s="3">
        <f t="shared" ca="1" si="153"/>
        <v>19.913245974107991</v>
      </c>
    </row>
    <row r="1400" spans="3:11" x14ac:dyDescent="0.35">
      <c r="C1400" t="str">
        <f t="shared" ca="1" si="147"/>
        <v>3Q2025</v>
      </c>
      <c r="D1400" vm="2777">
        <f ca="1"/>
        <v>45975</v>
      </c>
      <c r="E1400" vm="2778">
        <f ca="1"/>
        <v>190.17</v>
      </c>
      <c r="F1400" s="3">
        <f t="shared" ca="1" si="148"/>
        <v>1.3131687242798353</v>
      </c>
      <c r="G1400" s="3">
        <f t="shared" ca="1" si="149"/>
        <v>4.8930041152263373</v>
      </c>
      <c r="H1400" s="3">
        <f t="shared" ca="1" si="150"/>
        <v>2.345925925925926</v>
      </c>
      <c r="I1400" s="3">
        <f t="shared" ca="1" si="151"/>
        <v>36.204410842995927</v>
      </c>
      <c r="J1400" s="3">
        <f t="shared" ca="1" si="152"/>
        <v>9.7164234650967192</v>
      </c>
      <c r="K1400" s="3">
        <f t="shared" ca="1" si="153"/>
        <v>20.265985159456896</v>
      </c>
    </row>
    <row r="1401" spans="3:11" x14ac:dyDescent="0.35">
      <c r="C1401" t="str">
        <f t="shared" ca="1" si="147"/>
        <v>3Q2025</v>
      </c>
      <c r="D1401" vm="2779">
        <f ca="1"/>
        <v>45978</v>
      </c>
      <c r="E1401" vm="2780">
        <f ca="1"/>
        <v>186.6</v>
      </c>
      <c r="F1401" s="3">
        <f t="shared" ca="1" si="148"/>
        <v>1.3131687242798353</v>
      </c>
      <c r="G1401" s="3">
        <f t="shared" ca="1" si="149"/>
        <v>4.8930041152263373</v>
      </c>
      <c r="H1401" s="3">
        <f t="shared" ca="1" si="150"/>
        <v>2.345925925925926</v>
      </c>
      <c r="I1401" s="3">
        <f t="shared" ca="1" si="151"/>
        <v>35.524757129426511</v>
      </c>
      <c r="J1401" s="3">
        <f t="shared" ca="1" si="152"/>
        <v>9.534020185029437</v>
      </c>
      <c r="K1401" s="3">
        <f t="shared" ca="1" si="153"/>
        <v>19.885538364382697</v>
      </c>
    </row>
    <row r="1402" spans="3:11" x14ac:dyDescent="0.35">
      <c r="C1402" t="str">
        <f t="shared" ca="1" si="147"/>
        <v>3Q2025</v>
      </c>
      <c r="D1402" vm="2781">
        <f ca="1"/>
        <v>45979</v>
      </c>
      <c r="E1402" vm="2782">
        <f ca="1"/>
        <v>181.36</v>
      </c>
      <c r="F1402" s="3">
        <f t="shared" ca="1" si="148"/>
        <v>1.3131687242798353</v>
      </c>
      <c r="G1402" s="3">
        <f t="shared" ca="1" si="149"/>
        <v>4.8930041152263373</v>
      </c>
      <c r="H1402" s="3">
        <f t="shared" ca="1" si="150"/>
        <v>2.345925925925926</v>
      </c>
      <c r="I1402" s="3">
        <f t="shared" ca="1" si="151"/>
        <v>34.527170166092141</v>
      </c>
      <c r="J1402" s="3">
        <f t="shared" ca="1" si="152"/>
        <v>9.2662910008410435</v>
      </c>
      <c r="K1402" s="3">
        <f t="shared" ca="1" si="153"/>
        <v>19.327123460688348</v>
      </c>
    </row>
    <row r="1403" spans="3:11" x14ac:dyDescent="0.35">
      <c r="C1403" t="str">
        <f t="shared" ca="1" si="147"/>
        <v>3Q2025</v>
      </c>
      <c r="D1403" vm="2783">
        <f ca="1"/>
        <v>45980</v>
      </c>
      <c r="E1403" vm="2784">
        <f ca="1"/>
        <v>186.52</v>
      </c>
      <c r="F1403" s="3">
        <f t="shared" ca="1" si="148"/>
        <v>1.3131687242798353</v>
      </c>
      <c r="G1403" s="3">
        <f t="shared" ca="1" si="149"/>
        <v>4.8930041152263373</v>
      </c>
      <c r="H1403" s="3">
        <f t="shared" ca="1" si="150"/>
        <v>2.345925925925926</v>
      </c>
      <c r="I1403" s="3">
        <f t="shared" ca="1" si="151"/>
        <v>35.509526794108432</v>
      </c>
      <c r="J1403" s="3">
        <f t="shared" ca="1" si="152"/>
        <v>9.5299327165685455</v>
      </c>
      <c r="K1403" s="3">
        <f t="shared" ca="1" si="153"/>
        <v>19.877012946005685</v>
      </c>
    </row>
    <row r="1404" spans="3:11" x14ac:dyDescent="0.35">
      <c r="C1404" t="str">
        <f t="shared" ca="1" si="147"/>
        <v>3Q2025</v>
      </c>
      <c r="D1404" vm="2785">
        <f ca="1"/>
        <v>45981</v>
      </c>
      <c r="E1404" vm="2786">
        <f ca="1"/>
        <v>180.64</v>
      </c>
      <c r="F1404" s="3">
        <f t="shared" ca="1" si="148"/>
        <v>1.3131687242798353</v>
      </c>
      <c r="G1404" s="3">
        <f t="shared" ca="1" si="149"/>
        <v>4.8930041152263373</v>
      </c>
      <c r="H1404" s="3">
        <f t="shared" ca="1" si="150"/>
        <v>2.345925925925926</v>
      </c>
      <c r="I1404" s="3">
        <f t="shared" ca="1" si="151"/>
        <v>34.390097148229394</v>
      </c>
      <c r="J1404" s="3">
        <f t="shared" ca="1" si="152"/>
        <v>9.2295037846930192</v>
      </c>
      <c r="K1404" s="3">
        <f t="shared" ca="1" si="153"/>
        <v>19.250394695295231</v>
      </c>
    </row>
    <row r="1405" spans="3:11" x14ac:dyDescent="0.35">
      <c r="C1405" t="str">
        <f t="shared" ca="1" si="147"/>
        <v>3Q2025</v>
      </c>
      <c r="D1405" vm="2787">
        <f ca="1"/>
        <v>45982</v>
      </c>
      <c r="E1405" vm="2788">
        <f ca="1"/>
        <v>178.88</v>
      </c>
      <c r="F1405" s="3">
        <f t="shared" ca="1" si="148"/>
        <v>1.3131687242798353</v>
      </c>
      <c r="G1405" s="3">
        <f t="shared" ca="1" si="149"/>
        <v>4.8930041152263373</v>
      </c>
      <c r="H1405" s="3">
        <f t="shared" ca="1" si="150"/>
        <v>2.345925925925926</v>
      </c>
      <c r="I1405" s="3">
        <f t="shared" ca="1" si="151"/>
        <v>34.055029771231588</v>
      </c>
      <c r="J1405" s="3">
        <f t="shared" ca="1" si="152"/>
        <v>9.1395794785534061</v>
      </c>
      <c r="K1405" s="3">
        <f t="shared" ca="1" si="153"/>
        <v>19.062835491000946</v>
      </c>
    </row>
    <row r="1406" spans="3:11" x14ac:dyDescent="0.35">
      <c r="C1406" t="str">
        <f t="shared" ca="1" si="147"/>
        <v>3Q2025</v>
      </c>
      <c r="D1406" vm="2789">
        <f ca="1"/>
        <v>45985</v>
      </c>
      <c r="E1406" vm="2790">
        <f ca="1"/>
        <v>182.55</v>
      </c>
      <c r="F1406" s="3">
        <f t="shared" ca="1" si="148"/>
        <v>1.3131687242798353</v>
      </c>
      <c r="G1406" s="3">
        <f t="shared" ca="1" si="149"/>
        <v>4.8930041152263373</v>
      </c>
      <c r="H1406" s="3">
        <f t="shared" ca="1" si="150"/>
        <v>2.345925925925926</v>
      </c>
      <c r="I1406" s="3">
        <f t="shared" ca="1" si="151"/>
        <v>34.75372140394861</v>
      </c>
      <c r="J1406" s="3">
        <f t="shared" ca="1" si="152"/>
        <v>9.3270920941968054</v>
      </c>
      <c r="K1406" s="3">
        <f t="shared" ca="1" si="153"/>
        <v>19.453939059046416</v>
      </c>
    </row>
    <row r="1407" spans="3:11" x14ac:dyDescent="0.35">
      <c r="C1407" t="str">
        <f t="shared" ca="1" si="147"/>
        <v>3Q2025</v>
      </c>
      <c r="D1407" vm="2791">
        <f ca="1"/>
        <v>45986</v>
      </c>
      <c r="E1407" vm="2689">
        <f ca="1"/>
        <v>177.82</v>
      </c>
      <c r="F1407" s="3">
        <f t="shared" ca="1" si="148"/>
        <v>1.3131687242798353</v>
      </c>
      <c r="G1407" s="3">
        <f t="shared" ca="1" si="149"/>
        <v>4.8930041152263373</v>
      </c>
      <c r="H1407" s="3">
        <f t="shared" ca="1" si="150"/>
        <v>2.345925925925926</v>
      </c>
      <c r="I1407" s="3">
        <f t="shared" ca="1" si="151"/>
        <v>33.853227828267002</v>
      </c>
      <c r="J1407" s="3">
        <f t="shared" ca="1" si="152"/>
        <v>9.0854205214465935</v>
      </c>
      <c r="K1407" s="3">
        <f t="shared" ca="1" si="153"/>
        <v>18.949873697505524</v>
      </c>
    </row>
    <row r="1408" spans="3:11" x14ac:dyDescent="0.35">
      <c r="C1408" t="str">
        <f t="shared" ca="1" si="147"/>
        <v>3Q2025</v>
      </c>
      <c r="D1408" vm="2792">
        <f ca="1"/>
        <v>45987</v>
      </c>
      <c r="E1408" vm="2793">
        <f ca="1"/>
        <v>180.26</v>
      </c>
      <c r="F1408" s="3">
        <f t="shared" ca="1" si="148"/>
        <v>1.3131687242798353</v>
      </c>
      <c r="G1408" s="3">
        <f t="shared" ca="1" si="149"/>
        <v>4.8930041152263373</v>
      </c>
      <c r="H1408" s="3">
        <f t="shared" ca="1" si="150"/>
        <v>2.345925925925926</v>
      </c>
      <c r="I1408" s="3">
        <f t="shared" ca="1" si="151"/>
        <v>34.317753055468508</v>
      </c>
      <c r="J1408" s="3">
        <f t="shared" ca="1" si="152"/>
        <v>9.2100883095037851</v>
      </c>
      <c r="K1408" s="3">
        <f t="shared" ca="1" si="153"/>
        <v>19.20989895800442</v>
      </c>
    </row>
    <row r="1409" spans="3:11" x14ac:dyDescent="0.35">
      <c r="C1409" t="str">
        <f t="shared" ca="1" si="147"/>
        <v>3Q2025</v>
      </c>
      <c r="D1409" vm="2794">
        <f ca="1"/>
        <v>45989</v>
      </c>
      <c r="E1409" vm="2795">
        <f ca="1"/>
        <v>177</v>
      </c>
      <c r="F1409" s="3">
        <f t="shared" ca="1" si="148"/>
        <v>1.3131687242798353</v>
      </c>
      <c r="G1409" s="3">
        <f t="shared" ca="1" si="149"/>
        <v>4.8930041152263373</v>
      </c>
      <c r="H1409" s="3">
        <f t="shared" ca="1" si="150"/>
        <v>2.345925925925926</v>
      </c>
      <c r="I1409" s="3">
        <f t="shared" ca="1" si="151"/>
        <v>33.697116891256663</v>
      </c>
      <c r="J1409" s="3">
        <f t="shared" ca="1" si="152"/>
        <v>9.0435239697224556</v>
      </c>
      <c r="K1409" s="3">
        <f t="shared" ca="1" si="153"/>
        <v>18.862488159141144</v>
      </c>
    </row>
    <row r="1410" spans="3:11" x14ac:dyDescent="0.35">
      <c r="C1410" t="str">
        <f t="shared" ca="1" si="147"/>
        <v>3Q2025</v>
      </c>
      <c r="D1410" vm="2796">
        <f ca="1"/>
        <v>45992</v>
      </c>
      <c r="E1410" vm="2797">
        <f ca="1"/>
        <v>179.92</v>
      </c>
      <c r="F1410" s="3">
        <f t="shared" ca="1" si="148"/>
        <v>1.3131687242798353</v>
      </c>
      <c r="G1410" s="3">
        <f t="shared" ca="1" si="149"/>
        <v>4.8930041152263373</v>
      </c>
      <c r="H1410" s="3">
        <f t="shared" ca="1" si="150"/>
        <v>2.345925925925926</v>
      </c>
      <c r="I1410" s="3">
        <f t="shared" ca="1" si="151"/>
        <v>34.253024130366654</v>
      </c>
      <c r="J1410" s="3">
        <f t="shared" ca="1" si="152"/>
        <v>9.192716568544995</v>
      </c>
      <c r="K1410" s="3">
        <f t="shared" ca="1" si="153"/>
        <v>19.173665929902114</v>
      </c>
    </row>
    <row r="1411" spans="3:11" x14ac:dyDescent="0.35">
      <c r="C1411" t="str">
        <f t="shared" ref="C1411:C1474" ca="1" si="154">LOOKUP(D1411,$N$2:$N$27,$M$2:$M$27)</f>
        <v>3Q2025</v>
      </c>
      <c r="D1411" vm="2798">
        <f ca="1"/>
        <v>45993</v>
      </c>
      <c r="E1411" vm="2799">
        <f ca="1"/>
        <v>181.46</v>
      </c>
      <c r="F1411" s="3">
        <f t="shared" ca="1" si="148"/>
        <v>1.3131687242798353</v>
      </c>
      <c r="G1411" s="3">
        <f t="shared" ca="1" si="149"/>
        <v>4.8930041152263373</v>
      </c>
      <c r="H1411" s="3">
        <f t="shared" ca="1" si="150"/>
        <v>2.345925925925926</v>
      </c>
      <c r="I1411" s="3">
        <f t="shared" ca="1" si="151"/>
        <v>34.546208085239741</v>
      </c>
      <c r="J1411" s="3">
        <f t="shared" ca="1" si="152"/>
        <v>9.2714003364171589</v>
      </c>
      <c r="K1411" s="3">
        <f t="shared" ca="1" si="153"/>
        <v>19.337780233659615</v>
      </c>
    </row>
    <row r="1412" spans="3:11" x14ac:dyDescent="0.35">
      <c r="C1412" t="str">
        <f t="shared" ca="1" si="154"/>
        <v>3Q2025</v>
      </c>
      <c r="D1412" vm="2800">
        <f ca="1"/>
        <v>45994</v>
      </c>
      <c r="E1412" vm="2801">
        <f ca="1"/>
        <v>179.59</v>
      </c>
      <c r="F1412" s="3">
        <f t="shared" ref="F1412:F1475" ca="1" si="155">VLOOKUP($C1412,$M$2:$R$27,4,0)/VLOOKUP($C1412,$M$2:$R$27,3,0)</f>
        <v>1.3131687242798353</v>
      </c>
      <c r="G1412" s="3">
        <f t="shared" ref="G1412:G1475" ca="1" si="156">VLOOKUP($C1412,$M$2:$R$27,6,0)/VLOOKUP($C1412,$M$2:$R$27,3,0)</f>
        <v>4.8930041152263373</v>
      </c>
      <c r="H1412" s="3">
        <f t="shared" ref="H1412:H1475" ca="1" si="157">VLOOKUP($C1412,$M$2:$R$27,5,0)/VLOOKUP($C1412,$M$2:$R$27,3,0)</f>
        <v>2.345925925925926</v>
      </c>
      <c r="I1412" s="3">
        <f t="shared" ref="I1412:I1475" ca="1" si="158">$E1412/(F1412*4)</f>
        <v>34.190198997179571</v>
      </c>
      <c r="J1412" s="3">
        <f t="shared" ref="J1412:J1475" ca="1" si="159">$E1412/(G1412*4)</f>
        <v>9.1758557611438185</v>
      </c>
      <c r="K1412" s="3">
        <f t="shared" ref="K1412:K1475" ca="1" si="160">$E1412/(H1412*4)</f>
        <v>19.138498579096936</v>
      </c>
    </row>
    <row r="1413" spans="3:11" x14ac:dyDescent="0.35">
      <c r="C1413" t="str">
        <f t="shared" ca="1" si="154"/>
        <v>3Q2025</v>
      </c>
      <c r="D1413" vm="2802">
        <f ca="1"/>
        <v>45995</v>
      </c>
      <c r="E1413" vm="2803">
        <f ca="1"/>
        <v>183.38</v>
      </c>
      <c r="F1413" s="3">
        <f t="shared" ca="1" si="155"/>
        <v>1.3131687242798353</v>
      </c>
      <c r="G1413" s="3">
        <f t="shared" ca="1" si="156"/>
        <v>4.8930041152263373</v>
      </c>
      <c r="H1413" s="3">
        <f t="shared" ca="1" si="157"/>
        <v>2.345925925925926</v>
      </c>
      <c r="I1413" s="3">
        <f t="shared" ca="1" si="158"/>
        <v>34.911736132873706</v>
      </c>
      <c r="J1413" s="3">
        <f t="shared" ca="1" si="159"/>
        <v>9.3694995794785534</v>
      </c>
      <c r="K1413" s="3">
        <f t="shared" ca="1" si="160"/>
        <v>19.542390274707923</v>
      </c>
    </row>
    <row r="1414" spans="3:11" x14ac:dyDescent="0.35">
      <c r="C1414" t="str">
        <f t="shared" ca="1" si="154"/>
        <v>3Q2025</v>
      </c>
      <c r="D1414" vm="2804">
        <f ca="1"/>
        <v>45996</v>
      </c>
      <c r="E1414" vm="2805">
        <f ca="1"/>
        <v>182.41</v>
      </c>
      <c r="F1414" s="3">
        <f t="shared" ca="1" si="155"/>
        <v>1.3131687242798353</v>
      </c>
      <c r="G1414" s="3">
        <f t="shared" ca="1" si="156"/>
        <v>4.8930041152263373</v>
      </c>
      <c r="H1414" s="3">
        <f t="shared" ca="1" si="157"/>
        <v>2.345925925925926</v>
      </c>
      <c r="I1414" s="3">
        <f t="shared" ca="1" si="158"/>
        <v>34.727068317141963</v>
      </c>
      <c r="J1414" s="3">
        <f t="shared" ca="1" si="159"/>
        <v>9.3199390243902442</v>
      </c>
      <c r="K1414" s="3">
        <f t="shared" ca="1" si="160"/>
        <v>19.439019576886643</v>
      </c>
    </row>
    <row r="1415" spans="3:11" x14ac:dyDescent="0.35">
      <c r="C1415" t="str">
        <f t="shared" ca="1" si="154"/>
        <v>3Q2025</v>
      </c>
      <c r="D1415" vm="2806">
        <f ca="1"/>
        <v>45999</v>
      </c>
      <c r="E1415" vm="2807">
        <f ca="1"/>
        <v>185.55</v>
      </c>
      <c r="F1415" s="3">
        <f t="shared" ca="1" si="155"/>
        <v>1.3131687242798353</v>
      </c>
      <c r="G1415" s="3">
        <f t="shared" ca="1" si="156"/>
        <v>4.8930041152263373</v>
      </c>
      <c r="H1415" s="3">
        <f t="shared" ca="1" si="157"/>
        <v>2.345925925925926</v>
      </c>
      <c r="I1415" s="3">
        <f t="shared" ca="1" si="158"/>
        <v>35.324858978376689</v>
      </c>
      <c r="J1415" s="3">
        <f t="shared" ca="1" si="159"/>
        <v>9.4803721614802363</v>
      </c>
      <c r="K1415" s="3">
        <f t="shared" ca="1" si="160"/>
        <v>19.773642248184402</v>
      </c>
    </row>
    <row r="1416" spans="3:11" x14ac:dyDescent="0.35">
      <c r="C1416" t="str">
        <f t="shared" ca="1" si="154"/>
        <v>3Q2025</v>
      </c>
      <c r="D1416" vm="2808">
        <f ca="1"/>
        <v>46000</v>
      </c>
      <c r="E1416" vm="2809">
        <f ca="1"/>
        <v>184.97</v>
      </c>
      <c r="F1416" s="3">
        <f t="shared" ca="1" si="155"/>
        <v>1.3131687242798353</v>
      </c>
      <c r="G1416" s="3">
        <f t="shared" ca="1" si="156"/>
        <v>4.8930041152263373</v>
      </c>
      <c r="H1416" s="3">
        <f t="shared" ca="1" si="157"/>
        <v>2.345925925925926</v>
      </c>
      <c r="I1416" s="3">
        <f t="shared" ca="1" si="158"/>
        <v>35.214439047320589</v>
      </c>
      <c r="J1416" s="3">
        <f t="shared" ca="1" si="159"/>
        <v>9.4507380151387732</v>
      </c>
      <c r="K1416" s="3">
        <f t="shared" ca="1" si="160"/>
        <v>19.711832964951057</v>
      </c>
    </row>
    <row r="1417" spans="3:11" x14ac:dyDescent="0.35">
      <c r="C1417" t="str">
        <f t="shared" ca="1" si="154"/>
        <v>3Q2025</v>
      </c>
      <c r="D1417" vm="2810">
        <f ca="1"/>
        <v>46001</v>
      </c>
      <c r="E1417" vm="2811">
        <f ca="1"/>
        <v>183.78</v>
      </c>
      <c r="F1417" s="3">
        <f t="shared" ca="1" si="155"/>
        <v>1.3131687242798353</v>
      </c>
      <c r="G1417" s="3">
        <f t="shared" ca="1" si="156"/>
        <v>4.8930041152263373</v>
      </c>
      <c r="H1417" s="3">
        <f t="shared" ca="1" si="157"/>
        <v>2.345925925925926</v>
      </c>
      <c r="I1417" s="3">
        <f t="shared" ca="1" si="158"/>
        <v>34.987887809464119</v>
      </c>
      <c r="J1417" s="3">
        <f t="shared" ca="1" si="159"/>
        <v>9.3899369217830113</v>
      </c>
      <c r="K1417" s="3">
        <f t="shared" ca="1" si="160"/>
        <v>19.585017366592989</v>
      </c>
    </row>
    <row r="1418" spans="3:11" x14ac:dyDescent="0.35">
      <c r="C1418" t="str">
        <f t="shared" ca="1" si="154"/>
        <v>3Q2025</v>
      </c>
      <c r="D1418" vm="2812">
        <f ca="1"/>
        <v>46002</v>
      </c>
      <c r="E1418" vm="2813">
        <f ca="1"/>
        <v>180.93</v>
      </c>
      <c r="F1418" s="3">
        <f t="shared" ca="1" si="155"/>
        <v>1.3131687242798353</v>
      </c>
      <c r="G1418" s="3">
        <f t="shared" ca="1" si="156"/>
        <v>4.8930041152263373</v>
      </c>
      <c r="H1418" s="3">
        <f t="shared" ca="1" si="157"/>
        <v>2.345925925925926</v>
      </c>
      <c r="I1418" s="3">
        <f t="shared" ca="1" si="158"/>
        <v>34.445307113757444</v>
      </c>
      <c r="J1418" s="3">
        <f t="shared" ca="1" si="159"/>
        <v>9.2443208578637517</v>
      </c>
      <c r="K1418" s="3">
        <f t="shared" ca="1" si="160"/>
        <v>19.281299336911903</v>
      </c>
    </row>
    <row r="1419" spans="3:11" x14ac:dyDescent="0.35">
      <c r="C1419" t="str">
        <f t="shared" ca="1" si="154"/>
        <v>3Q2025</v>
      </c>
      <c r="D1419" vm="2814">
        <f ca="1"/>
        <v>46003</v>
      </c>
      <c r="E1419" vm="2815">
        <f ca="1"/>
        <v>175.02</v>
      </c>
      <c r="F1419" s="3">
        <f t="shared" ca="1" si="155"/>
        <v>1.3131687242798353</v>
      </c>
      <c r="G1419" s="3">
        <f t="shared" ca="1" si="156"/>
        <v>4.8930041152263373</v>
      </c>
      <c r="H1419" s="3">
        <f t="shared" ca="1" si="157"/>
        <v>2.345925925925926</v>
      </c>
      <c r="I1419" s="3">
        <f t="shared" ca="1" si="158"/>
        <v>33.32016609213413</v>
      </c>
      <c r="J1419" s="3">
        <f t="shared" ca="1" si="159"/>
        <v>8.9423591253153916</v>
      </c>
      <c r="K1419" s="3">
        <f t="shared" ca="1" si="160"/>
        <v>18.651484054310075</v>
      </c>
    </row>
    <row r="1420" spans="3:11" x14ac:dyDescent="0.35">
      <c r="C1420" t="str">
        <f t="shared" ca="1" si="154"/>
        <v>3Q2025</v>
      </c>
      <c r="D1420" vm="2816">
        <f ca="1"/>
        <v>46006</v>
      </c>
      <c r="E1420" vm="2817">
        <f ca="1"/>
        <v>176.29</v>
      </c>
      <c r="F1420" s="3">
        <f t="shared" ca="1" si="155"/>
        <v>1.3131687242798353</v>
      </c>
      <c r="G1420" s="3">
        <f t="shared" ca="1" si="156"/>
        <v>4.8930041152263373</v>
      </c>
      <c r="H1420" s="3">
        <f t="shared" ca="1" si="157"/>
        <v>2.345925925925926</v>
      </c>
      <c r="I1420" s="3">
        <f t="shared" ca="1" si="158"/>
        <v>33.561947665308679</v>
      </c>
      <c r="J1420" s="3">
        <f t="shared" ca="1" si="159"/>
        <v>9.0072476871320433</v>
      </c>
      <c r="K1420" s="3">
        <f t="shared" ca="1" si="160"/>
        <v>18.786825071045151</v>
      </c>
    </row>
    <row r="1421" spans="3:11" x14ac:dyDescent="0.35">
      <c r="C1421" t="str">
        <f t="shared" ca="1" si="154"/>
        <v>3Q2025</v>
      </c>
      <c r="D1421" vm="2818">
        <f ca="1"/>
        <v>46007</v>
      </c>
      <c r="E1421" vm="2819">
        <f ca="1"/>
        <v>177.72</v>
      </c>
      <c r="F1421" s="3">
        <f t="shared" ca="1" si="155"/>
        <v>1.3131687242798353</v>
      </c>
      <c r="G1421" s="3">
        <f t="shared" ca="1" si="156"/>
        <v>4.8930041152263373</v>
      </c>
      <c r="H1421" s="3">
        <f t="shared" ca="1" si="157"/>
        <v>2.345925925925926</v>
      </c>
      <c r="I1421" s="3">
        <f t="shared" ca="1" si="158"/>
        <v>33.834189909119402</v>
      </c>
      <c r="J1421" s="3">
        <f t="shared" ca="1" si="159"/>
        <v>9.0803111858704799</v>
      </c>
      <c r="K1421" s="3">
        <f t="shared" ca="1" si="160"/>
        <v>18.939216924534261</v>
      </c>
    </row>
    <row r="1422" spans="3:11" x14ac:dyDescent="0.35">
      <c r="C1422" t="str">
        <f t="shared" ca="1" si="154"/>
        <v>3Q2025</v>
      </c>
      <c r="D1422" vm="2820">
        <f ca="1"/>
        <v>46008</v>
      </c>
      <c r="E1422" vm="2821">
        <f ca="1"/>
        <v>170.94</v>
      </c>
      <c r="F1422" s="3">
        <f t="shared" ca="1" si="155"/>
        <v>1.3131687242798353</v>
      </c>
      <c r="G1422" s="3">
        <f t="shared" ca="1" si="156"/>
        <v>4.8930041152263373</v>
      </c>
      <c r="H1422" s="3">
        <f t="shared" ca="1" si="157"/>
        <v>2.345925925925926</v>
      </c>
      <c r="I1422" s="3">
        <f t="shared" ca="1" si="158"/>
        <v>32.543418990911938</v>
      </c>
      <c r="J1422" s="3">
        <f t="shared" ca="1" si="159"/>
        <v>8.7338982338099242</v>
      </c>
      <c r="K1422" s="3">
        <f t="shared" ca="1" si="160"/>
        <v>18.216687717082412</v>
      </c>
    </row>
    <row r="1423" spans="3:11" x14ac:dyDescent="0.35">
      <c r="C1423" t="str">
        <f t="shared" ca="1" si="154"/>
        <v>3Q2025</v>
      </c>
      <c r="D1423" vm="2822">
        <f ca="1"/>
        <v>46009</v>
      </c>
      <c r="E1423" vm="2823">
        <f ca="1"/>
        <v>174.14</v>
      </c>
      <c r="F1423" s="3">
        <f t="shared" ca="1" si="155"/>
        <v>1.3131687242798353</v>
      </c>
      <c r="G1423" s="3">
        <f t="shared" ca="1" si="156"/>
        <v>4.8930041152263373</v>
      </c>
      <c r="H1423" s="3">
        <f t="shared" ca="1" si="157"/>
        <v>2.345925925925926</v>
      </c>
      <c r="I1423" s="3">
        <f t="shared" ca="1" si="158"/>
        <v>33.152632403635224</v>
      </c>
      <c r="J1423" s="3">
        <f t="shared" ca="1" si="159"/>
        <v>8.8973969722455841</v>
      </c>
      <c r="K1423" s="3">
        <f t="shared" ca="1" si="160"/>
        <v>18.557704452162927</v>
      </c>
    </row>
    <row r="1424" spans="3:11" x14ac:dyDescent="0.35">
      <c r="C1424" t="str">
        <f t="shared" ca="1" si="154"/>
        <v>3Q2025</v>
      </c>
      <c r="D1424" vm="2824">
        <f ca="1"/>
        <v>46010</v>
      </c>
      <c r="E1424" vm="2825">
        <f ca="1"/>
        <v>180.99</v>
      </c>
      <c r="F1424" s="3">
        <f t="shared" ca="1" si="155"/>
        <v>1.3131687242798353</v>
      </c>
      <c r="G1424" s="3">
        <f t="shared" ca="1" si="156"/>
        <v>4.8930041152263373</v>
      </c>
      <c r="H1424" s="3">
        <f t="shared" ca="1" si="157"/>
        <v>2.345925925925926</v>
      </c>
      <c r="I1424" s="3">
        <f t="shared" ca="1" si="158"/>
        <v>34.456729865246011</v>
      </c>
      <c r="J1424" s="3">
        <f t="shared" ca="1" si="159"/>
        <v>9.2473864592094213</v>
      </c>
      <c r="K1424" s="3">
        <f t="shared" ca="1" si="160"/>
        <v>19.287693400694664</v>
      </c>
    </row>
    <row r="1425" spans="3:11" x14ac:dyDescent="0.35">
      <c r="C1425" t="str">
        <f t="shared" ca="1" si="154"/>
        <v>3Q2025</v>
      </c>
      <c r="D1425" vm="2826">
        <f ca="1"/>
        <v>46013</v>
      </c>
      <c r="E1425" vm="2827">
        <f ca="1"/>
        <v>183.69</v>
      </c>
      <c r="F1425" s="3">
        <f t="shared" ca="1" si="155"/>
        <v>1.3131687242798353</v>
      </c>
      <c r="G1425" s="3">
        <f t="shared" ca="1" si="156"/>
        <v>4.8930041152263373</v>
      </c>
      <c r="H1425" s="3">
        <f t="shared" ca="1" si="157"/>
        <v>2.345925925925926</v>
      </c>
      <c r="I1425" s="3">
        <f t="shared" ca="1" si="158"/>
        <v>34.970753682231276</v>
      </c>
      <c r="J1425" s="3">
        <f t="shared" ca="1" si="159"/>
        <v>9.3853385197645078</v>
      </c>
      <c r="K1425" s="3">
        <f t="shared" ca="1" si="160"/>
        <v>19.57542627091885</v>
      </c>
    </row>
    <row r="1426" spans="3:11" x14ac:dyDescent="0.35">
      <c r="C1426" t="str">
        <f t="shared" ca="1" si="154"/>
        <v>3Q2025</v>
      </c>
      <c r="D1426" vm="2828">
        <f ca="1"/>
        <v>46014</v>
      </c>
      <c r="E1426" vm="2829">
        <f ca="1"/>
        <v>189.21</v>
      </c>
      <c r="F1426" s="3">
        <f t="shared" ca="1" si="155"/>
        <v>1.3131687242798353</v>
      </c>
      <c r="G1426" s="3">
        <f t="shared" ca="1" si="156"/>
        <v>4.8930041152263373</v>
      </c>
      <c r="H1426" s="3">
        <f t="shared" ca="1" si="157"/>
        <v>2.345925925925926</v>
      </c>
      <c r="I1426" s="3">
        <f t="shared" ca="1" si="158"/>
        <v>36.021646819178947</v>
      </c>
      <c r="J1426" s="3">
        <f t="shared" ca="1" si="159"/>
        <v>9.6673738435660219</v>
      </c>
      <c r="K1426" s="3">
        <f t="shared" ca="1" si="160"/>
        <v>20.163680138932744</v>
      </c>
    </row>
    <row r="1427" spans="3:11" x14ac:dyDescent="0.35">
      <c r="C1427" t="str">
        <f t="shared" ca="1" si="154"/>
        <v>3Q2025</v>
      </c>
      <c r="D1427" vm="2830">
        <f ca="1"/>
        <v>46015</v>
      </c>
      <c r="E1427" vm="2831">
        <f ca="1"/>
        <v>188.61</v>
      </c>
      <c r="F1427" s="3">
        <f t="shared" ca="1" si="155"/>
        <v>1.3131687242798353</v>
      </c>
      <c r="G1427" s="3">
        <f t="shared" ca="1" si="156"/>
        <v>4.8930041152263373</v>
      </c>
      <c r="H1427" s="3">
        <f t="shared" ca="1" si="157"/>
        <v>2.345925925925926</v>
      </c>
      <c r="I1427" s="3">
        <f t="shared" ca="1" si="158"/>
        <v>35.907419304293327</v>
      </c>
      <c r="J1427" s="3">
        <f t="shared" ca="1" si="159"/>
        <v>9.6367178301093368</v>
      </c>
      <c r="K1427" s="3">
        <f t="shared" ca="1" si="160"/>
        <v>20.099739501105148</v>
      </c>
    </row>
    <row r="1428" spans="3:11" x14ac:dyDescent="0.35">
      <c r="C1428" t="str">
        <f t="shared" ca="1" si="154"/>
        <v>3Q2025</v>
      </c>
      <c r="D1428" vm="2832">
        <f ca="1"/>
        <v>46017</v>
      </c>
      <c r="E1428" vm="2833">
        <f ca="1"/>
        <v>190.53</v>
      </c>
      <c r="F1428" s="3">
        <f t="shared" ca="1" si="155"/>
        <v>1.3131687242798353</v>
      </c>
      <c r="G1428" s="3">
        <f t="shared" ca="1" si="156"/>
        <v>4.8930041152263373</v>
      </c>
      <c r="H1428" s="3">
        <f t="shared" ca="1" si="157"/>
        <v>2.345925925925926</v>
      </c>
      <c r="I1428" s="3">
        <f t="shared" ca="1" si="158"/>
        <v>36.2729473519273</v>
      </c>
      <c r="J1428" s="3">
        <f t="shared" ca="1" si="159"/>
        <v>9.7348170731707313</v>
      </c>
      <c r="K1428" s="3">
        <f t="shared" ca="1" si="160"/>
        <v>20.304349542153457</v>
      </c>
    </row>
    <row r="1429" spans="3:11" x14ac:dyDescent="0.35">
      <c r="C1429" t="str">
        <f t="shared" ca="1" si="154"/>
        <v>3Q2025</v>
      </c>
      <c r="D1429" vm="2834">
        <f ca="1"/>
        <v>46020</v>
      </c>
      <c r="E1429" vm="2835">
        <f ca="1"/>
        <v>188.22</v>
      </c>
      <c r="F1429" s="3">
        <f t="shared" ca="1" si="155"/>
        <v>1.3131687242798353</v>
      </c>
      <c r="G1429" s="3">
        <f t="shared" ca="1" si="156"/>
        <v>4.8930041152263373</v>
      </c>
      <c r="H1429" s="3">
        <f t="shared" ca="1" si="157"/>
        <v>2.345925925925926</v>
      </c>
      <c r="I1429" s="3">
        <f t="shared" ca="1" si="158"/>
        <v>35.833171419617678</v>
      </c>
      <c r="J1429" s="3">
        <f t="shared" ca="1" si="159"/>
        <v>9.616791421362489</v>
      </c>
      <c r="K1429" s="3">
        <f t="shared" ca="1" si="160"/>
        <v>20.058178086517209</v>
      </c>
    </row>
    <row r="1430" spans="3:11" x14ac:dyDescent="0.35">
      <c r="C1430" t="str">
        <f t="shared" ca="1" si="154"/>
        <v>3Q2025</v>
      </c>
      <c r="D1430" vm="2836">
        <f ca="1"/>
        <v>46021</v>
      </c>
      <c r="E1430" vm="2837">
        <f ca="1"/>
        <v>187.54</v>
      </c>
      <c r="F1430" s="3">
        <f t="shared" ca="1" si="155"/>
        <v>1.3131687242798353</v>
      </c>
      <c r="G1430" s="3">
        <f t="shared" ca="1" si="156"/>
        <v>4.8930041152263373</v>
      </c>
      <c r="H1430" s="3">
        <f t="shared" ca="1" si="157"/>
        <v>2.345925925925926</v>
      </c>
      <c r="I1430" s="3">
        <f t="shared" ca="1" si="158"/>
        <v>35.703713569413978</v>
      </c>
      <c r="J1430" s="3">
        <f t="shared" ca="1" si="159"/>
        <v>9.5820479394449123</v>
      </c>
      <c r="K1430" s="3">
        <f t="shared" ca="1" si="160"/>
        <v>19.985712030312598</v>
      </c>
    </row>
    <row r="1431" spans="3:11" x14ac:dyDescent="0.35">
      <c r="C1431" t="str">
        <f t="shared" ca="1" si="154"/>
        <v>3Q2025</v>
      </c>
      <c r="D1431" vm="2838">
        <f ca="1"/>
        <v>46022</v>
      </c>
      <c r="E1431" vm="2839">
        <f ca="1"/>
        <v>186.5</v>
      </c>
      <c r="F1431" s="3">
        <f t="shared" ca="1" si="155"/>
        <v>1.3131687242798353</v>
      </c>
      <c r="G1431" s="3">
        <f t="shared" ca="1" si="156"/>
        <v>4.8930041152263373</v>
      </c>
      <c r="H1431" s="3">
        <f t="shared" ca="1" si="157"/>
        <v>2.345925925925926</v>
      </c>
      <c r="I1431" s="3">
        <f t="shared" ca="1" si="158"/>
        <v>35.505719210278912</v>
      </c>
      <c r="J1431" s="3">
        <f t="shared" ca="1" si="159"/>
        <v>9.5289108494533217</v>
      </c>
      <c r="K1431" s="3">
        <f t="shared" ca="1" si="160"/>
        <v>19.87488159141143</v>
      </c>
    </row>
    <row r="1432" spans="3:11" x14ac:dyDescent="0.35">
      <c r="C1432" t="str">
        <f t="shared" ca="1" si="154"/>
        <v>3Q2025</v>
      </c>
      <c r="D1432" vm="2840">
        <f ca="1"/>
        <v>46024</v>
      </c>
      <c r="E1432" vm="2841">
        <f ca="1"/>
        <v>188.85</v>
      </c>
      <c r="F1432" s="3">
        <f t="shared" ca="1" si="155"/>
        <v>1.3131687242798353</v>
      </c>
      <c r="G1432" s="3">
        <f t="shared" ca="1" si="156"/>
        <v>4.8930041152263373</v>
      </c>
      <c r="H1432" s="3">
        <f t="shared" ca="1" si="157"/>
        <v>2.345925925925926</v>
      </c>
      <c r="I1432" s="3">
        <f t="shared" ca="1" si="158"/>
        <v>35.953110310247574</v>
      </c>
      <c r="J1432" s="3">
        <f t="shared" ca="1" si="159"/>
        <v>9.6489802354920098</v>
      </c>
      <c r="K1432" s="3">
        <f t="shared" ca="1" si="160"/>
        <v>20.125315756236184</v>
      </c>
    </row>
    <row r="1433" spans="3:11" x14ac:dyDescent="0.35">
      <c r="C1433" t="str">
        <f t="shared" ca="1" si="154"/>
        <v>3Q2025</v>
      </c>
      <c r="D1433" vm="2842">
        <f ca="1"/>
        <v>46027</v>
      </c>
      <c r="E1433" vm="2843">
        <f ca="1"/>
        <v>188.12</v>
      </c>
      <c r="F1433" s="3">
        <f t="shared" ca="1" si="155"/>
        <v>1.3131687242798353</v>
      </c>
      <c r="G1433" s="3">
        <f t="shared" ca="1" si="156"/>
        <v>4.8930041152263373</v>
      </c>
      <c r="H1433" s="3">
        <f t="shared" ca="1" si="157"/>
        <v>2.345925925925926</v>
      </c>
      <c r="I1433" s="3">
        <f t="shared" ca="1" si="158"/>
        <v>35.814133500470078</v>
      </c>
      <c r="J1433" s="3">
        <f t="shared" ca="1" si="159"/>
        <v>9.6116820857863754</v>
      </c>
      <c r="K1433" s="3">
        <f t="shared" ca="1" si="160"/>
        <v>20.047521313545943</v>
      </c>
    </row>
    <row r="1434" spans="3:11" x14ac:dyDescent="0.35">
      <c r="C1434" t="str">
        <f t="shared" ca="1" si="154"/>
        <v>3Q2025</v>
      </c>
      <c r="D1434" vm="2844">
        <f ca="1"/>
        <v>46028</v>
      </c>
      <c r="E1434" vm="2715">
        <f ca="1"/>
        <v>187.24</v>
      </c>
      <c r="F1434" s="3">
        <f t="shared" ca="1" si="155"/>
        <v>1.3131687242798353</v>
      </c>
      <c r="G1434" s="3">
        <f t="shared" ca="1" si="156"/>
        <v>4.8930041152263373</v>
      </c>
      <c r="H1434" s="3">
        <f t="shared" ca="1" si="157"/>
        <v>2.345925925925926</v>
      </c>
      <c r="I1434" s="3">
        <f t="shared" ca="1" si="158"/>
        <v>35.646599811971171</v>
      </c>
      <c r="J1434" s="3">
        <f t="shared" ca="1" si="159"/>
        <v>9.5667199327165697</v>
      </c>
      <c r="K1434" s="3">
        <f t="shared" ca="1" si="160"/>
        <v>19.953741711398802</v>
      </c>
    </row>
    <row r="1435" spans="3:11" x14ac:dyDescent="0.35">
      <c r="C1435" t="str">
        <f t="shared" ca="1" si="154"/>
        <v>3Q2025</v>
      </c>
      <c r="D1435" vm="2845">
        <f ca="1"/>
        <v>46029</v>
      </c>
      <c r="E1435" vm="2725">
        <f ca="1"/>
        <v>189.11</v>
      </c>
      <c r="F1435" s="3">
        <f t="shared" ca="1" si="155"/>
        <v>1.3131687242798353</v>
      </c>
      <c r="G1435" s="3">
        <f t="shared" ca="1" si="156"/>
        <v>4.8930041152263373</v>
      </c>
      <c r="H1435" s="3">
        <f t="shared" ca="1" si="157"/>
        <v>2.345925925925926</v>
      </c>
      <c r="I1435" s="3">
        <f t="shared" ca="1" si="158"/>
        <v>36.002608900031341</v>
      </c>
      <c r="J1435" s="3">
        <f t="shared" ca="1" si="159"/>
        <v>9.6622645079899083</v>
      </c>
      <c r="K1435" s="3">
        <f t="shared" ca="1" si="160"/>
        <v>20.153023365961477</v>
      </c>
    </row>
    <row r="1436" spans="3:11" x14ac:dyDescent="0.35">
      <c r="C1436" t="str">
        <f t="shared" ca="1" si="154"/>
        <v>3Q2025</v>
      </c>
      <c r="D1436" vm="2846">
        <f ca="1"/>
        <v>46030</v>
      </c>
      <c r="E1436" vm="2723">
        <f ca="1"/>
        <v>185.04</v>
      </c>
      <c r="F1436" s="3">
        <f t="shared" ca="1" si="155"/>
        <v>1.3131687242798353</v>
      </c>
      <c r="G1436" s="3">
        <f t="shared" ca="1" si="156"/>
        <v>4.8930041152263373</v>
      </c>
      <c r="H1436" s="3">
        <f t="shared" ca="1" si="157"/>
        <v>2.345925925925926</v>
      </c>
      <c r="I1436" s="3">
        <f t="shared" ca="1" si="158"/>
        <v>35.227765590723912</v>
      </c>
      <c r="J1436" s="3">
        <f t="shared" ca="1" si="159"/>
        <v>9.4543145500420529</v>
      </c>
      <c r="K1436" s="3">
        <f t="shared" ca="1" si="160"/>
        <v>19.719292706030942</v>
      </c>
    </row>
    <row r="1437" spans="3:11" x14ac:dyDescent="0.35">
      <c r="C1437" t="str">
        <f t="shared" ca="1" si="154"/>
        <v>3Q2025</v>
      </c>
      <c r="D1437" vm="2847">
        <f ca="1"/>
        <v>46031</v>
      </c>
      <c r="E1437" vm="2848">
        <f ca="1"/>
        <v>184.86</v>
      </c>
      <c r="F1437" s="3">
        <f t="shared" ca="1" si="155"/>
        <v>1.3131687242798353</v>
      </c>
      <c r="G1437" s="3">
        <f t="shared" ca="1" si="156"/>
        <v>4.8930041152263373</v>
      </c>
      <c r="H1437" s="3">
        <f t="shared" ca="1" si="157"/>
        <v>2.345925925925926</v>
      </c>
      <c r="I1437" s="3">
        <f t="shared" ca="1" si="158"/>
        <v>35.193497336258233</v>
      </c>
      <c r="J1437" s="3">
        <f t="shared" ca="1" si="159"/>
        <v>9.4451177460050477</v>
      </c>
      <c r="K1437" s="3">
        <f t="shared" ca="1" si="160"/>
        <v>19.700110514682667</v>
      </c>
    </row>
    <row r="1438" spans="3:11" x14ac:dyDescent="0.35">
      <c r="C1438" t="str">
        <f t="shared" ca="1" si="154"/>
        <v>3Q2025</v>
      </c>
      <c r="D1438" vm="2849">
        <f ca="1"/>
        <v>46034</v>
      </c>
      <c r="E1438" vm="2850">
        <f ca="1"/>
        <v>184.94</v>
      </c>
      <c r="F1438" s="3">
        <f t="shared" ca="1" si="155"/>
        <v>1.3131687242798353</v>
      </c>
      <c r="G1438" s="3">
        <f t="shared" ca="1" si="156"/>
        <v>4.8930041152263373</v>
      </c>
      <c r="H1438" s="3">
        <f t="shared" ca="1" si="157"/>
        <v>2.345925925925926</v>
      </c>
      <c r="I1438" s="3">
        <f t="shared" ca="1" si="158"/>
        <v>35.208727671576312</v>
      </c>
      <c r="J1438" s="3">
        <f t="shared" ca="1" si="159"/>
        <v>9.4492052144659375</v>
      </c>
      <c r="K1438" s="3">
        <f t="shared" ca="1" si="160"/>
        <v>19.708635933059679</v>
      </c>
    </row>
    <row r="1439" spans="3:11" x14ac:dyDescent="0.35">
      <c r="C1439" t="str">
        <f t="shared" ca="1" si="154"/>
        <v>3Q2025</v>
      </c>
      <c r="D1439" vm="2851">
        <f ca="1"/>
        <v>46035</v>
      </c>
      <c r="E1439" vm="2852">
        <f ca="1"/>
        <v>185.81</v>
      </c>
      <c r="F1439" s="3">
        <f t="shared" ca="1" si="155"/>
        <v>1.3131687242798353</v>
      </c>
      <c r="G1439" s="3">
        <f t="shared" ca="1" si="156"/>
        <v>4.8930041152263373</v>
      </c>
      <c r="H1439" s="3">
        <f t="shared" ca="1" si="157"/>
        <v>2.345925925925926</v>
      </c>
      <c r="I1439" s="3">
        <f t="shared" ca="1" si="158"/>
        <v>35.374357568160455</v>
      </c>
      <c r="J1439" s="3">
        <f t="shared" ca="1" si="159"/>
        <v>9.4936564339781331</v>
      </c>
      <c r="K1439" s="3">
        <f t="shared" ca="1" si="160"/>
        <v>19.801349857909692</v>
      </c>
    </row>
    <row r="1440" spans="3:11" x14ac:dyDescent="0.35">
      <c r="C1440" t="str">
        <f t="shared" ca="1" si="154"/>
        <v>3Q2025</v>
      </c>
      <c r="D1440" vm="2853">
        <f ca="1"/>
        <v>46036</v>
      </c>
      <c r="E1440" vm="2854">
        <f ca="1"/>
        <v>183.14</v>
      </c>
      <c r="F1440" s="3">
        <f t="shared" ca="1" si="155"/>
        <v>1.3131687242798353</v>
      </c>
      <c r="G1440" s="3">
        <f t="shared" ca="1" si="156"/>
        <v>4.8930041152263373</v>
      </c>
      <c r="H1440" s="3">
        <f t="shared" ca="1" si="157"/>
        <v>2.345925925925926</v>
      </c>
      <c r="I1440" s="3">
        <f t="shared" ca="1" si="158"/>
        <v>34.86604512691946</v>
      </c>
      <c r="J1440" s="3">
        <f t="shared" ca="1" si="159"/>
        <v>9.3572371740958786</v>
      </c>
      <c r="K1440" s="3">
        <f t="shared" ca="1" si="160"/>
        <v>19.516814019576884</v>
      </c>
    </row>
    <row r="1441" spans="3:11" x14ac:dyDescent="0.35">
      <c r="C1441" t="str">
        <f t="shared" ca="1" si="154"/>
        <v>3Q2025</v>
      </c>
      <c r="D1441" vm="2855">
        <f ca="1"/>
        <v>46037</v>
      </c>
      <c r="E1441" vm="2856">
        <f ca="1"/>
        <v>187.05</v>
      </c>
      <c r="F1441" s="3">
        <f t="shared" ca="1" si="155"/>
        <v>1.3131687242798353</v>
      </c>
      <c r="G1441" s="3">
        <f t="shared" ca="1" si="156"/>
        <v>4.8930041152263373</v>
      </c>
      <c r="H1441" s="3">
        <f t="shared" ca="1" si="157"/>
        <v>2.345925925925926</v>
      </c>
      <c r="I1441" s="3">
        <f t="shared" ca="1" si="158"/>
        <v>35.610427765590728</v>
      </c>
      <c r="J1441" s="3">
        <f t="shared" ca="1" si="159"/>
        <v>9.5570121951219527</v>
      </c>
      <c r="K1441" s="3">
        <f t="shared" ca="1" si="160"/>
        <v>19.933493842753396</v>
      </c>
    </row>
    <row r="1442" spans="3:11" x14ac:dyDescent="0.35">
      <c r="C1442" t="str">
        <f t="shared" ca="1" si="154"/>
        <v>3Q2025</v>
      </c>
      <c r="D1442" vm="2857">
        <f ca="1"/>
        <v>46038</v>
      </c>
      <c r="E1442" vm="2858">
        <f ca="1"/>
        <v>186.23</v>
      </c>
      <c r="F1442" s="3">
        <f t="shared" ca="1" si="155"/>
        <v>1.3131687242798353</v>
      </c>
      <c r="G1442" s="3">
        <f t="shared" ca="1" si="156"/>
        <v>4.8930041152263373</v>
      </c>
      <c r="H1442" s="3">
        <f t="shared" ca="1" si="157"/>
        <v>2.345925925925926</v>
      </c>
      <c r="I1442" s="3">
        <f t="shared" ca="1" si="158"/>
        <v>35.454316828580382</v>
      </c>
      <c r="J1442" s="3">
        <f t="shared" ca="1" si="159"/>
        <v>9.515115643397813</v>
      </c>
      <c r="K1442" s="3">
        <f t="shared" ca="1" si="160"/>
        <v>19.846108304389009</v>
      </c>
    </row>
    <row r="1443" spans="3:11" x14ac:dyDescent="0.35">
      <c r="C1443" t="str">
        <f t="shared" ca="1" si="154"/>
        <v>3Q2025</v>
      </c>
      <c r="D1443" vm="2859">
        <f ca="1"/>
        <v>46042</v>
      </c>
      <c r="E1443" vm="2860">
        <f ca="1"/>
        <v>178.07</v>
      </c>
      <c r="F1443" s="3">
        <f t="shared" ca="1" si="155"/>
        <v>1.3131687242798353</v>
      </c>
      <c r="G1443" s="3">
        <f t="shared" ca="1" si="156"/>
        <v>4.8930041152263373</v>
      </c>
      <c r="H1443" s="3">
        <f t="shared" ca="1" si="157"/>
        <v>2.345925925925926</v>
      </c>
      <c r="I1443" s="3">
        <f t="shared" ca="1" si="158"/>
        <v>33.900822626136005</v>
      </c>
      <c r="J1443" s="3">
        <f t="shared" ca="1" si="159"/>
        <v>9.0981938603868802</v>
      </c>
      <c r="K1443" s="3">
        <f t="shared" ca="1" si="160"/>
        <v>18.97651562993369</v>
      </c>
    </row>
    <row r="1444" spans="3:11" x14ac:dyDescent="0.35">
      <c r="C1444" t="str">
        <f t="shared" ca="1" si="154"/>
        <v>3Q2025</v>
      </c>
      <c r="D1444" vm="2861">
        <f ca="1"/>
        <v>46043</v>
      </c>
      <c r="E1444" vm="2862">
        <f ca="1"/>
        <v>183.32</v>
      </c>
      <c r="F1444" s="3">
        <f t="shared" ca="1" si="155"/>
        <v>1.3131687242798353</v>
      </c>
      <c r="G1444" s="3">
        <f t="shared" ca="1" si="156"/>
        <v>4.8930041152263373</v>
      </c>
      <c r="H1444" s="3">
        <f t="shared" ca="1" si="157"/>
        <v>2.345925925925926</v>
      </c>
      <c r="I1444" s="3">
        <f t="shared" ca="1" si="158"/>
        <v>34.900313381385146</v>
      </c>
      <c r="J1444" s="3">
        <f t="shared" ca="1" si="159"/>
        <v>9.3664339781328856</v>
      </c>
      <c r="K1444" s="3">
        <f t="shared" ca="1" si="160"/>
        <v>19.535996210925166</v>
      </c>
    </row>
    <row r="1445" spans="3:11" x14ac:dyDescent="0.35">
      <c r="C1445" t="str">
        <f t="shared" ca="1" si="154"/>
        <v>3Q2025</v>
      </c>
      <c r="D1445" vm="2863">
        <f ca="1"/>
        <v>46044</v>
      </c>
      <c r="E1445" vm="2864">
        <f ca="1"/>
        <v>184.84</v>
      </c>
      <c r="F1445" s="3">
        <f t="shared" ca="1" si="155"/>
        <v>1.3131687242798353</v>
      </c>
      <c r="G1445" s="3">
        <f t="shared" ca="1" si="156"/>
        <v>4.8930041152263373</v>
      </c>
      <c r="H1445" s="3">
        <f t="shared" ca="1" si="157"/>
        <v>2.345925925925926</v>
      </c>
      <c r="I1445" s="3">
        <f t="shared" ca="1" si="158"/>
        <v>35.189689752428706</v>
      </c>
      <c r="J1445" s="3">
        <f t="shared" ca="1" si="159"/>
        <v>9.4440958788898239</v>
      </c>
      <c r="K1445" s="3">
        <f t="shared" ca="1" si="160"/>
        <v>19.697979160088412</v>
      </c>
    </row>
    <row r="1446" spans="3:11" x14ac:dyDescent="0.35">
      <c r="C1446" t="str">
        <f t="shared" ca="1" si="154"/>
        <v>3Q2025</v>
      </c>
      <c r="D1446" vm="2865">
        <f ca="1"/>
        <v>46045</v>
      </c>
      <c r="E1446" vm="2866">
        <f ca="1"/>
        <v>187.67</v>
      </c>
      <c r="F1446" s="3">
        <f t="shared" ca="1" si="155"/>
        <v>1.3131687242798353</v>
      </c>
      <c r="G1446" s="3">
        <f t="shared" ca="1" si="156"/>
        <v>4.8930041152263373</v>
      </c>
      <c r="H1446" s="3">
        <f t="shared" ca="1" si="157"/>
        <v>2.345925925925926</v>
      </c>
      <c r="I1446" s="3">
        <f t="shared" ca="1" si="158"/>
        <v>35.728462864305861</v>
      </c>
      <c r="J1446" s="3">
        <f t="shared" ca="1" si="159"/>
        <v>9.5886900756938598</v>
      </c>
      <c r="K1446" s="3">
        <f t="shared" ca="1" si="160"/>
        <v>19.999565835175243</v>
      </c>
    </row>
    <row r="1447" spans="3:11" x14ac:dyDescent="0.35">
      <c r="C1447" t="str">
        <f t="shared" ca="1" si="154"/>
        <v>4Q2025</v>
      </c>
      <c r="D1447" vm="2867">
        <f ca="1"/>
        <v>46048</v>
      </c>
      <c r="E1447" vm="2868">
        <f ca="1"/>
        <v>186.47</v>
      </c>
      <c r="F1447" s="3">
        <f t="shared" ca="1" si="155"/>
        <v>1.7679012345679013</v>
      </c>
      <c r="G1447" s="3">
        <f t="shared" ca="1" si="156"/>
        <v>6.4728395061728392</v>
      </c>
      <c r="H1447" s="3">
        <f t="shared" ca="1" si="157"/>
        <v>2.8035802469135804</v>
      </c>
      <c r="I1447" s="3">
        <f t="shared" ca="1" si="158"/>
        <v>26.368837290502793</v>
      </c>
      <c r="J1447" s="3">
        <f t="shared" ca="1" si="159"/>
        <v>7.2020169750143053</v>
      </c>
      <c r="K1447" s="3">
        <f t="shared" ca="1" si="160"/>
        <v>16.627845788013563</v>
      </c>
    </row>
    <row r="1448" spans="3:11" x14ac:dyDescent="0.35">
      <c r="C1448" t="str">
        <f t="shared" ca="1" si="154"/>
        <v>4Q2025</v>
      </c>
      <c r="D1448" vm="2869">
        <f ca="1"/>
        <v>46049</v>
      </c>
      <c r="E1448" vm="2870">
        <f ca="1"/>
        <v>188.52</v>
      </c>
      <c r="F1448" s="3">
        <f t="shared" ca="1" si="155"/>
        <v>1.7679012345679013</v>
      </c>
      <c r="G1448" s="3">
        <f t="shared" ca="1" si="156"/>
        <v>6.4728395061728392</v>
      </c>
      <c r="H1448" s="3">
        <f t="shared" ca="1" si="157"/>
        <v>2.8035802469135804</v>
      </c>
      <c r="I1448" s="3">
        <f t="shared" ca="1" si="158"/>
        <v>26.65872905027933</v>
      </c>
      <c r="J1448" s="3">
        <f t="shared" ca="1" si="159"/>
        <v>7.2811939729162702</v>
      </c>
      <c r="K1448" s="3">
        <f t="shared" ca="1" si="160"/>
        <v>16.810647760799682</v>
      </c>
    </row>
    <row r="1449" spans="3:11" x14ac:dyDescent="0.35">
      <c r="C1449" t="str">
        <f t="shared" ca="1" si="154"/>
        <v>4Q2025</v>
      </c>
      <c r="D1449" vm="2871">
        <f ca="1"/>
        <v>46050</v>
      </c>
      <c r="E1449" vm="2872">
        <f ca="1"/>
        <v>191.52</v>
      </c>
      <c r="F1449" s="3">
        <f t="shared" ca="1" si="155"/>
        <v>1.7679012345679013</v>
      </c>
      <c r="G1449" s="3">
        <f t="shared" ca="1" si="156"/>
        <v>6.4728395061728392</v>
      </c>
      <c r="H1449" s="3">
        <f t="shared" ca="1" si="157"/>
        <v>2.8035802469135804</v>
      </c>
      <c r="I1449" s="3">
        <f t="shared" ca="1" si="158"/>
        <v>27.08296089385475</v>
      </c>
      <c r="J1449" s="3">
        <f t="shared" ca="1" si="159"/>
        <v>7.3970627503337791</v>
      </c>
      <c r="K1449" s="3">
        <f t="shared" ca="1" si="160"/>
        <v>17.07816284292571</v>
      </c>
    </row>
    <row r="1450" spans="3:11" x14ac:dyDescent="0.35">
      <c r="C1450" t="str">
        <f t="shared" ca="1" si="154"/>
        <v>4Q2025</v>
      </c>
      <c r="D1450" vm="2873">
        <f ca="1"/>
        <v>46051</v>
      </c>
      <c r="E1450" vm="2874">
        <f ca="1"/>
        <v>192.51</v>
      </c>
      <c r="F1450" s="3">
        <f t="shared" ca="1" si="155"/>
        <v>1.7679012345679013</v>
      </c>
      <c r="G1450" s="3">
        <f t="shared" ca="1" si="156"/>
        <v>6.4728395061728392</v>
      </c>
      <c r="H1450" s="3">
        <f t="shared" ca="1" si="157"/>
        <v>2.8035802469135804</v>
      </c>
      <c r="I1450" s="3">
        <f t="shared" ca="1" si="158"/>
        <v>27.222957402234634</v>
      </c>
      <c r="J1450" s="3">
        <f t="shared" ca="1" si="159"/>
        <v>7.4352994468815563</v>
      </c>
      <c r="K1450" s="3">
        <f t="shared" ca="1" si="160"/>
        <v>17.166442820027299</v>
      </c>
    </row>
    <row r="1451" spans="3:11" x14ac:dyDescent="0.35">
      <c r="C1451" t="str">
        <f t="shared" ca="1" si="154"/>
        <v>4Q2025</v>
      </c>
      <c r="D1451" vm="2875">
        <f ca="1"/>
        <v>46052</v>
      </c>
      <c r="E1451" vm="2876">
        <f ca="1"/>
        <v>191.13</v>
      </c>
      <c r="F1451" s="3">
        <f t="shared" ca="1" si="155"/>
        <v>1.7679012345679013</v>
      </c>
      <c r="G1451" s="3">
        <f t="shared" ca="1" si="156"/>
        <v>6.4728395061728392</v>
      </c>
      <c r="H1451" s="3">
        <f t="shared" ca="1" si="157"/>
        <v>2.8035802469135804</v>
      </c>
      <c r="I1451" s="3">
        <f t="shared" ca="1" si="158"/>
        <v>27.027810754189943</v>
      </c>
      <c r="J1451" s="3">
        <f t="shared" ca="1" si="159"/>
        <v>7.3819998092695025</v>
      </c>
      <c r="K1451" s="3">
        <f t="shared" ca="1" si="160"/>
        <v>17.043385882249328</v>
      </c>
    </row>
    <row r="1452" spans="3:11" x14ac:dyDescent="0.35">
      <c r="C1452" t="str">
        <f t="shared" ca="1" si="154"/>
        <v>4Q2025</v>
      </c>
      <c r="D1452" vm="2877">
        <f ca="1"/>
        <v>46055</v>
      </c>
      <c r="E1452" vm="2878">
        <f ca="1"/>
        <v>185.61</v>
      </c>
      <c r="F1452" s="3">
        <f t="shared" ca="1" si="155"/>
        <v>1.7679012345679013</v>
      </c>
      <c r="G1452" s="3">
        <f t="shared" ca="1" si="156"/>
        <v>6.4728395061728392</v>
      </c>
      <c r="H1452" s="3">
        <f t="shared" ca="1" si="157"/>
        <v>2.8035802469135804</v>
      </c>
      <c r="I1452" s="3">
        <f t="shared" ca="1" si="158"/>
        <v>26.247224162011175</v>
      </c>
      <c r="J1452" s="3">
        <f t="shared" ca="1" si="159"/>
        <v>7.1688012588212864</v>
      </c>
      <c r="K1452" s="3">
        <f t="shared" ca="1" si="160"/>
        <v>16.551158131137434</v>
      </c>
    </row>
    <row r="1453" spans="3:11" x14ac:dyDescent="0.35">
      <c r="C1453" t="str">
        <f t="shared" ca="1" si="154"/>
        <v>4Q2025</v>
      </c>
      <c r="D1453" vm="2879">
        <f ca="1"/>
        <v>46056</v>
      </c>
      <c r="E1453" vm="2880">
        <f ca="1"/>
        <v>180.34</v>
      </c>
      <c r="F1453" s="3">
        <f t="shared" ca="1" si="155"/>
        <v>1.7679012345679013</v>
      </c>
      <c r="G1453" s="3">
        <f t="shared" ca="1" si="156"/>
        <v>6.4728395061728392</v>
      </c>
      <c r="H1453" s="3">
        <f t="shared" ca="1" si="157"/>
        <v>2.8035802469135804</v>
      </c>
      <c r="I1453" s="3">
        <f t="shared" ca="1" si="158"/>
        <v>25.501990223463686</v>
      </c>
      <c r="J1453" s="3">
        <f t="shared" ca="1" si="159"/>
        <v>6.9652584398245283</v>
      </c>
      <c r="K1453" s="3">
        <f t="shared" ca="1" si="160"/>
        <v>16.081223303536042</v>
      </c>
    </row>
    <row r="1454" spans="3:11" x14ac:dyDescent="0.35">
      <c r="C1454" t="str">
        <f t="shared" ca="1" si="154"/>
        <v>4Q2025</v>
      </c>
      <c r="D1454" vm="2881">
        <f ca="1"/>
        <v>46057</v>
      </c>
      <c r="E1454" vm="2882">
        <f ca="1"/>
        <v>174.19</v>
      </c>
      <c r="F1454" s="3">
        <f t="shared" ca="1" si="155"/>
        <v>1.7679012345679013</v>
      </c>
      <c r="G1454" s="3">
        <f t="shared" ca="1" si="156"/>
        <v>6.4728395061728392</v>
      </c>
      <c r="H1454" s="3">
        <f t="shared" ca="1" si="157"/>
        <v>2.8035802469135804</v>
      </c>
      <c r="I1454" s="3">
        <f t="shared" ca="1" si="158"/>
        <v>24.632314944134077</v>
      </c>
      <c r="J1454" s="3">
        <f t="shared" ca="1" si="159"/>
        <v>6.7277274461186343</v>
      </c>
      <c r="K1454" s="3">
        <f t="shared" ca="1" si="160"/>
        <v>15.532817385177681</v>
      </c>
    </row>
    <row r="1455" spans="3:11" x14ac:dyDescent="0.35">
      <c r="C1455" t="str">
        <f t="shared" ca="1" si="154"/>
        <v>4Q2025</v>
      </c>
      <c r="D1455" vm="2883">
        <f ca="1"/>
        <v>46058</v>
      </c>
      <c r="E1455" vm="2884">
        <f ca="1"/>
        <v>171.88</v>
      </c>
      <c r="F1455" s="3">
        <f t="shared" ca="1" si="155"/>
        <v>1.7679012345679013</v>
      </c>
      <c r="G1455" s="3">
        <f t="shared" ca="1" si="156"/>
        <v>6.4728395061728392</v>
      </c>
      <c r="H1455" s="3">
        <f t="shared" ca="1" si="157"/>
        <v>2.8035802469135804</v>
      </c>
      <c r="I1455" s="3">
        <f t="shared" ca="1" si="158"/>
        <v>24.305656424581006</v>
      </c>
      <c r="J1455" s="3">
        <f t="shared" ca="1" si="159"/>
        <v>6.6385084875071527</v>
      </c>
      <c r="K1455" s="3">
        <f t="shared" ca="1" si="160"/>
        <v>15.326830771940639</v>
      </c>
    </row>
    <row r="1456" spans="3:11" x14ac:dyDescent="0.35">
      <c r="C1456" t="str">
        <f t="shared" ca="1" si="154"/>
        <v>4Q2025</v>
      </c>
      <c r="D1456" vm="2885">
        <f ca="1"/>
        <v>46059</v>
      </c>
      <c r="E1456" vm="2886">
        <f ca="1"/>
        <v>185.41</v>
      </c>
      <c r="F1456" s="3">
        <f t="shared" ca="1" si="155"/>
        <v>1.7679012345679013</v>
      </c>
      <c r="G1456" s="3">
        <f t="shared" ca="1" si="156"/>
        <v>6.4728395061728392</v>
      </c>
      <c r="H1456" s="3">
        <f t="shared" ca="1" si="157"/>
        <v>2.8035802469135804</v>
      </c>
      <c r="I1456" s="3">
        <f t="shared" ca="1" si="158"/>
        <v>26.218942039106143</v>
      </c>
      <c r="J1456" s="3">
        <f t="shared" ca="1" si="159"/>
        <v>7.1610766736601184</v>
      </c>
      <c r="K1456" s="3">
        <f t="shared" ca="1" si="160"/>
        <v>16.533323792329032</v>
      </c>
    </row>
    <row r="1457" spans="3:11" x14ac:dyDescent="0.35">
      <c r="C1457" t="str">
        <f t="shared" ca="1" si="154"/>
        <v>4Q2025</v>
      </c>
      <c r="D1457" vm="2887">
        <f ca="1"/>
        <v>46062</v>
      </c>
      <c r="E1457" vm="2888">
        <f ca="1"/>
        <v>190.04</v>
      </c>
      <c r="F1457" s="3">
        <f t="shared" ca="1" si="155"/>
        <v>1.7679012345679013</v>
      </c>
      <c r="G1457" s="3">
        <f t="shared" ca="1" si="156"/>
        <v>6.4728395061728392</v>
      </c>
      <c r="H1457" s="3">
        <f t="shared" ca="1" si="157"/>
        <v>2.8035802469135804</v>
      </c>
      <c r="I1457" s="3">
        <f t="shared" ca="1" si="158"/>
        <v>26.873673184357539</v>
      </c>
      <c r="J1457" s="3">
        <f t="shared" ca="1" si="159"/>
        <v>7.3399008201411409</v>
      </c>
      <c r="K1457" s="3">
        <f t="shared" ca="1" si="160"/>
        <v>16.946188735743537</v>
      </c>
    </row>
    <row r="1458" spans="3:11" x14ac:dyDescent="0.35">
      <c r="C1458" t="str">
        <f t="shared" ca="1" si="154"/>
        <v>4Q2025</v>
      </c>
      <c r="D1458" vm="2889">
        <f ca="1"/>
        <v>46063</v>
      </c>
      <c r="E1458" vm="2890">
        <f ca="1"/>
        <v>188.54</v>
      </c>
      <c r="F1458" s="3">
        <f t="shared" ca="1" si="155"/>
        <v>1.7679012345679013</v>
      </c>
      <c r="G1458" s="3">
        <f t="shared" ca="1" si="156"/>
        <v>6.4728395061728392</v>
      </c>
      <c r="H1458" s="3">
        <f t="shared" ca="1" si="157"/>
        <v>2.8035802469135804</v>
      </c>
      <c r="I1458" s="3">
        <f t="shared" ca="1" si="158"/>
        <v>26.661557262569829</v>
      </c>
      <c r="J1458" s="3">
        <f t="shared" ca="1" si="159"/>
        <v>7.2819664314323864</v>
      </c>
      <c r="K1458" s="3">
        <f t="shared" ca="1" si="160"/>
        <v>16.812431194680521</v>
      </c>
    </row>
    <row r="1459" spans="3:11" x14ac:dyDescent="0.35">
      <c r="C1459" t="str">
        <f t="shared" ca="1" si="154"/>
        <v>4Q2025</v>
      </c>
      <c r="D1459" vm="2891">
        <f ca="1"/>
        <v>46064</v>
      </c>
      <c r="E1459" vm="2892">
        <f ca="1"/>
        <v>190.05</v>
      </c>
      <c r="F1459" s="3">
        <f t="shared" ca="1" si="155"/>
        <v>1.7679012345679013</v>
      </c>
      <c r="G1459" s="3">
        <f t="shared" ca="1" si="156"/>
        <v>6.4728395061728392</v>
      </c>
      <c r="H1459" s="3">
        <f t="shared" ca="1" si="157"/>
        <v>2.8035802469135804</v>
      </c>
      <c r="I1459" s="3">
        <f t="shared" ca="1" si="158"/>
        <v>26.875087290502794</v>
      </c>
      <c r="J1459" s="3">
        <f t="shared" ca="1" si="159"/>
        <v>7.3402870493991994</v>
      </c>
      <c r="K1459" s="3">
        <f t="shared" ca="1" si="160"/>
        <v>16.947080452683959</v>
      </c>
    </row>
    <row r="1460" spans="3:11" x14ac:dyDescent="0.35">
      <c r="C1460" t="str">
        <f t="shared" ca="1" si="154"/>
        <v>4Q2025</v>
      </c>
      <c r="D1460" vm="2893">
        <f ca="1"/>
        <v>46065</v>
      </c>
      <c r="E1460" vm="2894">
        <f ca="1"/>
        <v>186.94</v>
      </c>
      <c r="F1460" s="3">
        <f t="shared" ca="1" si="155"/>
        <v>1.7679012345679013</v>
      </c>
      <c r="G1460" s="3">
        <f t="shared" ca="1" si="156"/>
        <v>6.4728395061728392</v>
      </c>
      <c r="H1460" s="3">
        <f t="shared" ca="1" si="157"/>
        <v>2.8035802469135804</v>
      </c>
      <c r="I1460" s="3">
        <f t="shared" ca="1" si="158"/>
        <v>26.435300279329606</v>
      </c>
      <c r="J1460" s="3">
        <f t="shared" ca="1" si="159"/>
        <v>7.2201697501430484</v>
      </c>
      <c r="K1460" s="3">
        <f t="shared" ca="1" si="160"/>
        <v>16.669756484213305</v>
      </c>
    </row>
    <row r="1461" spans="3:11" x14ac:dyDescent="0.35">
      <c r="C1461" t="str">
        <f t="shared" ca="1" si="154"/>
        <v>4Q2025</v>
      </c>
      <c r="D1461" vm="2895">
        <f ca="1"/>
        <v>46066</v>
      </c>
      <c r="E1461" vm="2896">
        <f ca="1"/>
        <v>182.81</v>
      </c>
      <c r="F1461" s="3">
        <f t="shared" ca="1" si="155"/>
        <v>1.7679012345679013</v>
      </c>
      <c r="G1461" s="3">
        <f t="shared" ca="1" si="156"/>
        <v>6.4728395061728392</v>
      </c>
      <c r="H1461" s="3">
        <f t="shared" ca="1" si="157"/>
        <v>2.8035802469135804</v>
      </c>
      <c r="I1461" s="3">
        <f t="shared" ca="1" si="158"/>
        <v>25.851274441340781</v>
      </c>
      <c r="J1461" s="3">
        <f t="shared" ca="1" si="159"/>
        <v>7.0606570665649437</v>
      </c>
      <c r="K1461" s="3">
        <f t="shared" ca="1" si="160"/>
        <v>16.301477387819805</v>
      </c>
    </row>
    <row r="1462" spans="3:11" x14ac:dyDescent="0.35">
      <c r="C1462" t="str">
        <f t="shared" ca="1" si="154"/>
        <v>4Q2025</v>
      </c>
      <c r="D1462" vm="2897">
        <f ca="1"/>
        <v>46070</v>
      </c>
      <c r="E1462" vm="2809">
        <f ca="1"/>
        <v>184.97</v>
      </c>
      <c r="F1462" s="3">
        <f t="shared" ca="1" si="155"/>
        <v>1.7679012345679013</v>
      </c>
      <c r="G1462" s="3">
        <f t="shared" ca="1" si="156"/>
        <v>6.4728395061728392</v>
      </c>
      <c r="H1462" s="3">
        <f t="shared" ca="1" si="157"/>
        <v>2.8035802469135804</v>
      </c>
      <c r="I1462" s="3">
        <f t="shared" ca="1" si="158"/>
        <v>26.156721368715083</v>
      </c>
      <c r="J1462" s="3">
        <f t="shared" ca="1" si="159"/>
        <v>7.1440825863055508</v>
      </c>
      <c r="K1462" s="3">
        <f t="shared" ca="1" si="160"/>
        <v>16.494088246950547</v>
      </c>
    </row>
    <row r="1463" spans="3:11" x14ac:dyDescent="0.35">
      <c r="C1463" t="str">
        <f t="shared" ca="1" si="154"/>
        <v>4Q2025</v>
      </c>
      <c r="D1463" vm="2898">
        <f ca="1"/>
        <v>46071</v>
      </c>
      <c r="E1463" vm="2899">
        <f ca="1"/>
        <v>187.98</v>
      </c>
      <c r="F1463" s="3">
        <f t="shared" ca="1" si="155"/>
        <v>1.7679012345679013</v>
      </c>
      <c r="G1463" s="3">
        <f t="shared" ca="1" si="156"/>
        <v>6.4728395061728392</v>
      </c>
      <c r="H1463" s="3">
        <f t="shared" ca="1" si="157"/>
        <v>2.8035802469135804</v>
      </c>
      <c r="I1463" s="3">
        <f t="shared" ca="1" si="158"/>
        <v>26.582367318435754</v>
      </c>
      <c r="J1463" s="3">
        <f t="shared" ca="1" si="159"/>
        <v>7.2603375929811174</v>
      </c>
      <c r="K1463" s="3">
        <f t="shared" ca="1" si="160"/>
        <v>16.762495046016994</v>
      </c>
    </row>
    <row r="1464" spans="3:11" x14ac:dyDescent="0.35">
      <c r="C1464" t="str">
        <f t="shared" ca="1" si="154"/>
        <v>4Q2025</v>
      </c>
      <c r="D1464" vm="2900">
        <f ca="1"/>
        <v>46072</v>
      </c>
      <c r="E1464" vm="2901">
        <f ca="1"/>
        <v>187.9</v>
      </c>
      <c r="F1464" s="3">
        <f t="shared" ca="1" si="155"/>
        <v>1.7679012345679013</v>
      </c>
      <c r="G1464" s="3">
        <f t="shared" ca="1" si="156"/>
        <v>6.4728395061728392</v>
      </c>
      <c r="H1464" s="3">
        <f t="shared" ca="1" si="157"/>
        <v>2.8035802469135804</v>
      </c>
      <c r="I1464" s="3">
        <f t="shared" ca="1" si="158"/>
        <v>26.571054469273744</v>
      </c>
      <c r="J1464" s="3">
        <f t="shared" ca="1" si="159"/>
        <v>7.2572477589166517</v>
      </c>
      <c r="K1464" s="3">
        <f t="shared" ca="1" si="160"/>
        <v>16.755361310493637</v>
      </c>
    </row>
    <row r="1465" spans="3:11" x14ac:dyDescent="0.35">
      <c r="C1465" t="str">
        <f t="shared" ca="1" si="154"/>
        <v>4Q2025</v>
      </c>
      <c r="D1465" vm="2902">
        <f ca="1"/>
        <v>46073</v>
      </c>
      <c r="E1465" vm="2903">
        <f ca="1"/>
        <v>189.82</v>
      </c>
      <c r="F1465" s="3">
        <f t="shared" ca="1" si="155"/>
        <v>1.7679012345679013</v>
      </c>
      <c r="G1465" s="3">
        <f t="shared" ca="1" si="156"/>
        <v>6.4728395061728392</v>
      </c>
      <c r="H1465" s="3">
        <f t="shared" ca="1" si="157"/>
        <v>2.8035802469135804</v>
      </c>
      <c r="I1465" s="3">
        <f t="shared" ca="1" si="158"/>
        <v>26.842562849162011</v>
      </c>
      <c r="J1465" s="3">
        <f t="shared" ca="1" si="159"/>
        <v>7.3314037764638567</v>
      </c>
      <c r="K1465" s="3">
        <f t="shared" ca="1" si="160"/>
        <v>16.926570963054292</v>
      </c>
    </row>
    <row r="1466" spans="3:11" x14ac:dyDescent="0.35">
      <c r="C1466" t="str">
        <f t="shared" ca="1" si="154"/>
        <v>4Q2025</v>
      </c>
      <c r="D1466" vm="2904">
        <f ca="1"/>
        <v>46076</v>
      </c>
      <c r="E1466" vm="2905">
        <f ca="1"/>
        <v>191.55</v>
      </c>
      <c r="F1466" s="3">
        <f t="shared" ca="1" si="155"/>
        <v>1.7679012345679013</v>
      </c>
      <c r="G1466" s="3">
        <f t="shared" ca="1" si="156"/>
        <v>6.4728395061728392</v>
      </c>
      <c r="H1466" s="3">
        <f t="shared" ca="1" si="157"/>
        <v>2.8035802469135804</v>
      </c>
      <c r="I1466" s="3">
        <f t="shared" ca="1" si="158"/>
        <v>27.087203212290504</v>
      </c>
      <c r="J1466" s="3">
        <f t="shared" ca="1" si="159"/>
        <v>7.3982214381079539</v>
      </c>
      <c r="K1466" s="3">
        <f t="shared" ca="1" si="160"/>
        <v>17.080837993746972</v>
      </c>
    </row>
    <row r="1467" spans="3:11" x14ac:dyDescent="0.35">
      <c r="C1467" t="str">
        <f t="shared" ca="1" si="154"/>
        <v>4Q2025</v>
      </c>
      <c r="D1467" vm="2906">
        <f ca="1"/>
        <v>46077</v>
      </c>
      <c r="E1467" vm="2907">
        <f ca="1"/>
        <v>192.85</v>
      </c>
      <c r="F1467" s="3">
        <f t="shared" ca="1" si="155"/>
        <v>1.7679012345679013</v>
      </c>
      <c r="G1467" s="3">
        <f t="shared" ca="1" si="156"/>
        <v>6.4728395061728392</v>
      </c>
      <c r="H1467" s="3">
        <f t="shared" ca="1" si="157"/>
        <v>2.8035802469135804</v>
      </c>
      <c r="I1467" s="3">
        <f t="shared" ca="1" si="158"/>
        <v>27.271037011173181</v>
      </c>
      <c r="J1467" s="3">
        <f t="shared" ca="1" si="159"/>
        <v>7.4484312416555412</v>
      </c>
      <c r="K1467" s="3">
        <f t="shared" ca="1" si="160"/>
        <v>17.196761196001585</v>
      </c>
    </row>
    <row r="1468" spans="3:11" x14ac:dyDescent="0.35">
      <c r="C1468" t="str">
        <f t="shared" ca="1" si="154"/>
        <v>4Q2025</v>
      </c>
      <c r="D1468" vm="2908">
        <f ca="1"/>
        <v>46078</v>
      </c>
      <c r="E1468" vm="2909">
        <f ca="1"/>
        <v>195.56</v>
      </c>
      <c r="F1468" s="3">
        <f t="shared" ca="1" si="155"/>
        <v>1.7679012345679013</v>
      </c>
      <c r="G1468" s="3">
        <f t="shared" ca="1" si="156"/>
        <v>6.4728395061728392</v>
      </c>
      <c r="H1468" s="3">
        <f t="shared" ca="1" si="157"/>
        <v>2.8035802469135804</v>
      </c>
      <c r="I1468" s="3">
        <f t="shared" ca="1" si="158"/>
        <v>27.654259776536314</v>
      </c>
      <c r="J1468" s="3">
        <f t="shared" ca="1" si="159"/>
        <v>7.5530993705893579</v>
      </c>
      <c r="K1468" s="3">
        <f t="shared" ca="1" si="160"/>
        <v>17.438416486855431</v>
      </c>
    </row>
    <row r="1469" spans="3:11" x14ac:dyDescent="0.35">
      <c r="C1469" t="str">
        <f t="shared" ca="1" si="154"/>
        <v>4Q2025</v>
      </c>
      <c r="D1469" vm="2910">
        <f ca="1"/>
        <v>46079</v>
      </c>
      <c r="E1469" vm="2911">
        <f ca="1"/>
        <v>184.89</v>
      </c>
      <c r="F1469" s="3">
        <f t="shared" ca="1" si="155"/>
        <v>1.7679012345679013</v>
      </c>
      <c r="G1469" s="3">
        <f t="shared" ca="1" si="156"/>
        <v>6.4728395061728392</v>
      </c>
      <c r="H1469" s="3">
        <f t="shared" ca="1" si="157"/>
        <v>2.8035802469135804</v>
      </c>
      <c r="I1469" s="3">
        <f t="shared" ca="1" si="158"/>
        <v>26.145408519553069</v>
      </c>
      <c r="J1469" s="3">
        <f t="shared" ca="1" si="159"/>
        <v>7.1409927522410834</v>
      </c>
      <c r="K1469" s="3">
        <f t="shared" ca="1" si="160"/>
        <v>16.486954511427186</v>
      </c>
    </row>
    <row r="1470" spans="3:11" x14ac:dyDescent="0.35">
      <c r="C1470" t="str">
        <f t="shared" ca="1" si="154"/>
        <v>4Q2025</v>
      </c>
      <c r="D1470" vm="2912">
        <f ca="1"/>
        <v>46080</v>
      </c>
      <c r="E1470" vm="2913">
        <f ca="1"/>
        <v>177.19</v>
      </c>
      <c r="F1470" s="3">
        <f t="shared" ca="1" si="155"/>
        <v>1.7679012345679013</v>
      </c>
      <c r="G1470" s="3">
        <f t="shared" ca="1" si="156"/>
        <v>6.4728395061728392</v>
      </c>
      <c r="H1470" s="3">
        <f t="shared" ca="1" si="157"/>
        <v>2.8035802469135804</v>
      </c>
      <c r="I1470" s="3">
        <f t="shared" ca="1" si="158"/>
        <v>25.056546787709497</v>
      </c>
      <c r="J1470" s="3">
        <f t="shared" ca="1" si="159"/>
        <v>6.8435962235361441</v>
      </c>
      <c r="K1470" s="3">
        <f t="shared" ca="1" si="160"/>
        <v>15.800332467303711</v>
      </c>
    </row>
    <row r="1471" spans="3:11" x14ac:dyDescent="0.35">
      <c r="C1471" t="str">
        <f t="shared" ca="1" si="154"/>
        <v>4Q2025</v>
      </c>
      <c r="D1471" vm="2914">
        <f ca="1"/>
        <v>46083</v>
      </c>
      <c r="E1471" vm="2915">
        <f ca="1"/>
        <v>182.48</v>
      </c>
      <c r="F1471" s="3">
        <f t="shared" ca="1" si="155"/>
        <v>1.7679012345679013</v>
      </c>
      <c r="G1471" s="3">
        <f t="shared" ca="1" si="156"/>
        <v>6.4728395061728392</v>
      </c>
      <c r="H1471" s="3">
        <f t="shared" ca="1" si="157"/>
        <v>2.8035802469135804</v>
      </c>
      <c r="I1471" s="3">
        <f t="shared" ca="1" si="158"/>
        <v>25.804608938547485</v>
      </c>
      <c r="J1471" s="3">
        <f t="shared" ca="1" si="159"/>
        <v>7.0479115010490174</v>
      </c>
      <c r="K1471" s="3">
        <f t="shared" ca="1" si="160"/>
        <v>16.272050728785942</v>
      </c>
    </row>
    <row r="1472" spans="3:11" x14ac:dyDescent="0.35">
      <c r="C1472" t="str">
        <f t="shared" ca="1" si="154"/>
        <v>4Q2025</v>
      </c>
      <c r="D1472" vm="2916">
        <f ca="1"/>
        <v>46084</v>
      </c>
      <c r="E1472" vm="2917">
        <f ca="1"/>
        <v>180.05</v>
      </c>
      <c r="F1472" s="3">
        <f t="shared" ca="1" si="155"/>
        <v>1.7679012345679013</v>
      </c>
      <c r="G1472" s="3">
        <f t="shared" ca="1" si="156"/>
        <v>6.4728395061728392</v>
      </c>
      <c r="H1472" s="3">
        <f t="shared" ca="1" si="157"/>
        <v>2.8035802469135804</v>
      </c>
      <c r="I1472" s="3">
        <f t="shared" ca="1" si="158"/>
        <v>25.460981145251399</v>
      </c>
      <c r="J1472" s="3">
        <f t="shared" ca="1" si="159"/>
        <v>6.9540577913408361</v>
      </c>
      <c r="K1472" s="3">
        <f t="shared" ca="1" si="160"/>
        <v>16.05536351226386</v>
      </c>
    </row>
    <row r="1473" spans="3:11" x14ac:dyDescent="0.35">
      <c r="C1473" t="str">
        <f t="shared" ca="1" si="154"/>
        <v>4Q2025</v>
      </c>
      <c r="D1473" vm="2918">
        <f ca="1"/>
        <v>46085</v>
      </c>
      <c r="E1473" vm="2919">
        <f ca="1"/>
        <v>183.04</v>
      </c>
      <c r="F1473" s="3">
        <f t="shared" ca="1" si="155"/>
        <v>1.7679012345679013</v>
      </c>
      <c r="G1473" s="3">
        <f t="shared" ca="1" si="156"/>
        <v>6.4728395061728392</v>
      </c>
      <c r="H1473" s="3">
        <f t="shared" ca="1" si="157"/>
        <v>2.8035802469135804</v>
      </c>
      <c r="I1473" s="3">
        <f t="shared" ca="1" si="158"/>
        <v>25.883798882681564</v>
      </c>
      <c r="J1473" s="3">
        <f t="shared" ca="1" si="159"/>
        <v>7.0695403395002865</v>
      </c>
      <c r="K1473" s="3">
        <f t="shared" ca="1" si="160"/>
        <v>16.321986877449469</v>
      </c>
    </row>
    <row r="1474" spans="3:11" x14ac:dyDescent="0.35">
      <c r="C1474" t="str">
        <f t="shared" ca="1" si="154"/>
        <v>4Q2025</v>
      </c>
      <c r="D1474" vm="2920">
        <f ca="1"/>
        <v>46086</v>
      </c>
      <c r="E1474" vm="2921">
        <f ca="1"/>
        <v>183.34</v>
      </c>
      <c r="F1474" s="3">
        <f t="shared" ca="1" si="155"/>
        <v>1.7679012345679013</v>
      </c>
      <c r="G1474" s="3">
        <f t="shared" ca="1" si="156"/>
        <v>6.4728395061728392</v>
      </c>
      <c r="H1474" s="3">
        <f t="shared" ca="1" si="157"/>
        <v>2.8035802469135804</v>
      </c>
      <c r="I1474" s="3">
        <f t="shared" ca="1" si="158"/>
        <v>25.926222067039106</v>
      </c>
      <c r="J1474" s="3">
        <f t="shared" ca="1" si="159"/>
        <v>7.0811272172420372</v>
      </c>
      <c r="K1474" s="3">
        <f t="shared" ca="1" si="160"/>
        <v>16.34873838566207</v>
      </c>
    </row>
    <row r="1475" spans="3:11" x14ac:dyDescent="0.35">
      <c r="C1475" t="str">
        <f t="shared" ref="C1475:C1538" ca="1" si="161">LOOKUP(D1475,$N$2:$N$27,$M$2:$M$27)</f>
        <v>4Q2025</v>
      </c>
      <c r="D1475" vm="2922">
        <f ca="1"/>
        <v>46087</v>
      </c>
      <c r="E1475" vm="2689">
        <f ca="1"/>
        <v>177.82</v>
      </c>
      <c r="F1475" s="3">
        <f t="shared" ca="1" si="155"/>
        <v>1.7679012345679013</v>
      </c>
      <c r="G1475" s="3">
        <f t="shared" ca="1" si="156"/>
        <v>6.4728395061728392</v>
      </c>
      <c r="H1475" s="3">
        <f t="shared" ca="1" si="157"/>
        <v>2.8035802469135804</v>
      </c>
      <c r="I1475" s="3">
        <f t="shared" ca="1" si="158"/>
        <v>25.145635474860335</v>
      </c>
      <c r="J1475" s="3">
        <f t="shared" ca="1" si="159"/>
        <v>6.8679286667938202</v>
      </c>
      <c r="K1475" s="3">
        <f t="shared" ca="1" si="160"/>
        <v>15.856510634550176</v>
      </c>
    </row>
    <row r="1476" spans="3:11" x14ac:dyDescent="0.35">
      <c r="C1476" t="str">
        <f t="shared" ca="1" si="161"/>
        <v>4Q2025</v>
      </c>
      <c r="D1476" vm="2923">
        <f ca="1"/>
        <v>46090</v>
      </c>
      <c r="E1476" vm="2924">
        <f ca="1"/>
        <v>182.65</v>
      </c>
      <c r="F1476" s="3">
        <f t="shared" ref="F1476:F1539" ca="1" si="162">VLOOKUP($C1476,$M$2:$R$27,4,0)/VLOOKUP($C1476,$M$2:$R$27,3,0)</f>
        <v>1.7679012345679013</v>
      </c>
      <c r="G1476" s="3">
        <f t="shared" ref="G1476:G1539" ca="1" si="163">VLOOKUP($C1476,$M$2:$R$27,6,0)/VLOOKUP($C1476,$M$2:$R$27,3,0)</f>
        <v>6.4728395061728392</v>
      </c>
      <c r="H1476" s="3">
        <f t="shared" ref="H1476:H1539" ca="1" si="164">VLOOKUP($C1476,$M$2:$R$27,5,0)/VLOOKUP($C1476,$M$2:$R$27,3,0)</f>
        <v>2.8035802469135804</v>
      </c>
      <c r="I1476" s="3">
        <f t="shared" ref="I1476:I1539" ca="1" si="165">$E1476/(F1476*4)</f>
        <v>25.82864874301676</v>
      </c>
      <c r="J1476" s="3">
        <f t="shared" ref="J1476:J1539" ca="1" si="166">$E1476/(G1476*4)</f>
        <v>7.0544773984360107</v>
      </c>
      <c r="K1476" s="3">
        <f t="shared" ref="K1476:K1539" ca="1" si="167">$E1476/(H1476*4)</f>
        <v>16.287209916773087</v>
      </c>
    </row>
    <row r="1477" spans="3:11" x14ac:dyDescent="0.35">
      <c r="C1477" t="str">
        <f t="shared" ca="1" si="161"/>
        <v>4Q2025</v>
      </c>
      <c r="D1477" vm="2925">
        <f ca="1"/>
        <v>46091</v>
      </c>
      <c r="E1477" vm="2926">
        <f ca="1"/>
        <v>184.77</v>
      </c>
      <c r="F1477" s="3">
        <f t="shared" ca="1" si="162"/>
        <v>1.7679012345679013</v>
      </c>
      <c r="G1477" s="3">
        <f t="shared" ca="1" si="163"/>
        <v>6.4728395061728392</v>
      </c>
      <c r="H1477" s="3">
        <f t="shared" ca="1" si="164"/>
        <v>2.8035802469135804</v>
      </c>
      <c r="I1477" s="3">
        <f t="shared" ca="1" si="165"/>
        <v>26.128439245810057</v>
      </c>
      <c r="J1477" s="3">
        <f t="shared" ca="1" si="166"/>
        <v>7.1363580011443837</v>
      </c>
      <c r="K1477" s="3">
        <f t="shared" ca="1" si="167"/>
        <v>16.476253908142144</v>
      </c>
    </row>
    <row r="1478" spans="3:11" x14ac:dyDescent="0.35">
      <c r="C1478" t="str">
        <f t="shared" ca="1" si="161"/>
        <v>4Q2025</v>
      </c>
      <c r="D1478" vm="2927">
        <f ca="1"/>
        <v>46092</v>
      </c>
      <c r="E1478" vm="2928">
        <f ca="1"/>
        <v>186.03</v>
      </c>
      <c r="F1478" s="3">
        <f t="shared" ca="1" si="162"/>
        <v>1.7679012345679013</v>
      </c>
      <c r="G1478" s="3">
        <f t="shared" ca="1" si="163"/>
        <v>6.4728395061728392</v>
      </c>
      <c r="H1478" s="3">
        <f t="shared" ca="1" si="164"/>
        <v>2.8035802469135804</v>
      </c>
      <c r="I1478" s="3">
        <f t="shared" ca="1" si="165"/>
        <v>26.306616620111733</v>
      </c>
      <c r="J1478" s="3">
        <f t="shared" ca="1" si="166"/>
        <v>7.1850228876597368</v>
      </c>
      <c r="K1478" s="3">
        <f t="shared" ca="1" si="167"/>
        <v>16.588610242635077</v>
      </c>
    </row>
    <row r="1479" spans="3:11" x14ac:dyDescent="0.35">
      <c r="C1479" t="str">
        <f t="shared" ca="1" si="161"/>
        <v>4Q2025</v>
      </c>
      <c r="D1479" vm="2929">
        <f ca="1"/>
        <v>46093</v>
      </c>
      <c r="E1479" vm="2854">
        <f ca="1"/>
        <v>183.14</v>
      </c>
      <c r="F1479" s="3">
        <f t="shared" ca="1" si="162"/>
        <v>1.7679012345679013</v>
      </c>
      <c r="G1479" s="3">
        <f t="shared" ca="1" si="163"/>
        <v>6.4728395061728392</v>
      </c>
      <c r="H1479" s="3">
        <f t="shared" ca="1" si="164"/>
        <v>2.8035802469135804</v>
      </c>
      <c r="I1479" s="3">
        <f t="shared" ca="1" si="165"/>
        <v>25.897939944134077</v>
      </c>
      <c r="J1479" s="3">
        <f t="shared" ca="1" si="166"/>
        <v>7.0734026320808692</v>
      </c>
      <c r="K1479" s="3">
        <f t="shared" ca="1" si="167"/>
        <v>16.330904046853668</v>
      </c>
    </row>
    <row r="1480" spans="3:11" x14ac:dyDescent="0.35">
      <c r="C1480" t="str">
        <f t="shared" ca="1" si="161"/>
        <v>4Q2025</v>
      </c>
      <c r="D1480" vm="2930">
        <f ca="1"/>
        <v>46094</v>
      </c>
      <c r="E1480" vm="2931">
        <f ca="1"/>
        <v>180.25</v>
      </c>
      <c r="F1480" s="3">
        <f t="shared" ca="1" si="162"/>
        <v>1.7679012345679013</v>
      </c>
      <c r="G1480" s="3">
        <f t="shared" ca="1" si="163"/>
        <v>6.4728395061728392</v>
      </c>
      <c r="H1480" s="3">
        <f t="shared" ca="1" si="164"/>
        <v>2.8035802469135804</v>
      </c>
      <c r="I1480" s="3">
        <f t="shared" ca="1" si="165"/>
        <v>25.489263268156424</v>
      </c>
      <c r="J1480" s="3">
        <f t="shared" ca="1" si="166"/>
        <v>6.9617823765020033</v>
      </c>
      <c r="K1480" s="3">
        <f t="shared" ca="1" si="167"/>
        <v>16.073197851072262</v>
      </c>
    </row>
    <row r="1481" spans="3:11" x14ac:dyDescent="0.35">
      <c r="C1481" t="str">
        <f t="shared" ca="1" si="161"/>
        <v>4Q2025</v>
      </c>
      <c r="D1481" vm="2932">
        <f ca="1"/>
        <v>46097</v>
      </c>
      <c r="E1481" vm="2738">
        <f ca="1"/>
        <v>183.22</v>
      </c>
      <c r="F1481" s="3">
        <f t="shared" ca="1" si="162"/>
        <v>1.7679012345679013</v>
      </c>
      <c r="G1481" s="3">
        <f t="shared" ca="1" si="163"/>
        <v>6.4728395061728392</v>
      </c>
      <c r="H1481" s="3">
        <f t="shared" ca="1" si="164"/>
        <v>2.8035802469135804</v>
      </c>
      <c r="I1481" s="3">
        <f t="shared" ca="1" si="165"/>
        <v>25.909252793296087</v>
      </c>
      <c r="J1481" s="3">
        <f t="shared" ca="1" si="166"/>
        <v>7.0764924661453366</v>
      </c>
      <c r="K1481" s="3">
        <f t="shared" ca="1" si="167"/>
        <v>16.338037782377029</v>
      </c>
    </row>
    <row r="1482" spans="3:11" x14ac:dyDescent="0.35">
      <c r="C1482" t="str">
        <f t="shared" ca="1" si="161"/>
        <v>4Q2025</v>
      </c>
      <c r="D1482" vm="2933">
        <f ca="1"/>
        <v>46098</v>
      </c>
      <c r="E1482" vm="2934">
        <f ca="1"/>
        <v>181.93</v>
      </c>
      <c r="F1482" s="3">
        <f t="shared" ca="1" si="162"/>
        <v>1.7679012345679013</v>
      </c>
      <c r="G1482" s="3">
        <f t="shared" ca="1" si="163"/>
        <v>6.4728395061728392</v>
      </c>
      <c r="H1482" s="3">
        <f t="shared" ca="1" si="164"/>
        <v>2.8035802469135804</v>
      </c>
      <c r="I1482" s="3">
        <f t="shared" ca="1" si="165"/>
        <v>25.726833100558661</v>
      </c>
      <c r="J1482" s="3">
        <f t="shared" ca="1" si="166"/>
        <v>7.0266688918558087</v>
      </c>
      <c r="K1482" s="3">
        <f t="shared" ca="1" si="167"/>
        <v>16.223006297062838</v>
      </c>
    </row>
    <row r="1483" spans="3:11" x14ac:dyDescent="0.35">
      <c r="C1483" t="str">
        <f t="shared" ca="1" si="161"/>
        <v>4Q2025</v>
      </c>
      <c r="D1483" vm="2935">
        <f ca="1"/>
        <v>46099</v>
      </c>
      <c r="E1483" vm="2936">
        <f ca="1"/>
        <v>180.4</v>
      </c>
      <c r="F1483" s="3">
        <f t="shared" ca="1" si="162"/>
        <v>1.7679012345679013</v>
      </c>
      <c r="G1483" s="3">
        <f t="shared" ca="1" si="163"/>
        <v>6.4728395061728392</v>
      </c>
      <c r="H1483" s="3">
        <f t="shared" ca="1" si="164"/>
        <v>2.8035802469135804</v>
      </c>
      <c r="I1483" s="3">
        <f t="shared" ca="1" si="165"/>
        <v>25.510474860335197</v>
      </c>
      <c r="J1483" s="3">
        <f t="shared" ca="1" si="166"/>
        <v>6.9675758153728786</v>
      </c>
      <c r="K1483" s="3">
        <f t="shared" ca="1" si="167"/>
        <v>16.086573605178565</v>
      </c>
    </row>
    <row r="1484" spans="3:11" x14ac:dyDescent="0.35">
      <c r="C1484" t="str">
        <f t="shared" ca="1" si="161"/>
        <v>4Q2025</v>
      </c>
      <c r="D1484" vm="2937">
        <f ca="1"/>
        <v>46100</v>
      </c>
      <c r="E1484" vm="2938">
        <f ca="1"/>
        <v>178.56</v>
      </c>
      <c r="F1484" s="3">
        <f t="shared" ca="1" si="162"/>
        <v>1.7679012345679013</v>
      </c>
      <c r="G1484" s="3">
        <f t="shared" ca="1" si="163"/>
        <v>6.4728395061728392</v>
      </c>
      <c r="H1484" s="3">
        <f t="shared" ca="1" si="164"/>
        <v>2.8035802469135804</v>
      </c>
      <c r="I1484" s="3">
        <f t="shared" ca="1" si="165"/>
        <v>25.25027932960894</v>
      </c>
      <c r="J1484" s="3">
        <f t="shared" ca="1" si="166"/>
        <v>6.8965096318901393</v>
      </c>
      <c r="K1484" s="3">
        <f t="shared" ca="1" si="167"/>
        <v>15.922497688141265</v>
      </c>
    </row>
    <row r="1485" spans="3:11" x14ac:dyDescent="0.35">
      <c r="C1485" t="str">
        <f t="shared" ca="1" si="161"/>
        <v>4Q2025</v>
      </c>
      <c r="D1485" vm="2939">
        <f ca="1"/>
        <v>46101</v>
      </c>
      <c r="E1485" vm="2940">
        <f ca="1"/>
        <v>172.7</v>
      </c>
      <c r="F1485" s="3">
        <f t="shared" ca="1" si="162"/>
        <v>1.7679012345679013</v>
      </c>
      <c r="G1485" s="3">
        <f t="shared" ca="1" si="163"/>
        <v>6.4728395061728392</v>
      </c>
      <c r="H1485" s="3">
        <f t="shared" ca="1" si="164"/>
        <v>2.8035802469135804</v>
      </c>
      <c r="I1485" s="3">
        <f t="shared" ca="1" si="165"/>
        <v>24.421613128491618</v>
      </c>
      <c r="J1485" s="3">
        <f t="shared" ca="1" si="166"/>
        <v>6.6701792866679384</v>
      </c>
      <c r="K1485" s="3">
        <f t="shared" ca="1" si="167"/>
        <v>15.399951561055087</v>
      </c>
    </row>
    <row r="1486" spans="3:11" x14ac:dyDescent="0.35">
      <c r="C1486" t="str">
        <f t="shared" ca="1" si="161"/>
        <v>4Q2025</v>
      </c>
      <c r="D1486" vm="2941">
        <f ca="1"/>
        <v>46104</v>
      </c>
      <c r="E1486" vm="2656">
        <f ca="1"/>
        <v>175.64</v>
      </c>
      <c r="F1486" s="3">
        <f t="shared" ca="1" si="162"/>
        <v>1.7679012345679013</v>
      </c>
      <c r="G1486" s="3">
        <f t="shared" ca="1" si="163"/>
        <v>6.4728395061728392</v>
      </c>
      <c r="H1486" s="3">
        <f t="shared" ca="1" si="164"/>
        <v>2.8035802469135804</v>
      </c>
      <c r="I1486" s="3">
        <f t="shared" ca="1" si="165"/>
        <v>24.837360335195527</v>
      </c>
      <c r="J1486" s="3">
        <f t="shared" ca="1" si="166"/>
        <v>6.7837306885370969</v>
      </c>
      <c r="K1486" s="3">
        <f t="shared" ca="1" si="167"/>
        <v>15.662116341538594</v>
      </c>
    </row>
    <row r="1487" spans="3:11" x14ac:dyDescent="0.35">
      <c r="C1487" t="str">
        <f t="shared" ca="1" si="161"/>
        <v>4Q2025</v>
      </c>
      <c r="D1487" vm="2942">
        <f ca="1"/>
        <v>46105</v>
      </c>
      <c r="E1487" vm="2943">
        <f ca="1"/>
        <v>175.2</v>
      </c>
      <c r="F1487" s="3">
        <f t="shared" ca="1" si="162"/>
        <v>1.7679012345679013</v>
      </c>
      <c r="G1487" s="3">
        <f t="shared" ca="1" si="163"/>
        <v>6.4728395061728392</v>
      </c>
      <c r="H1487" s="3">
        <f t="shared" ca="1" si="164"/>
        <v>2.8035802469135804</v>
      </c>
      <c r="I1487" s="3">
        <f t="shared" ca="1" si="165"/>
        <v>24.775139664804467</v>
      </c>
      <c r="J1487" s="3">
        <f t="shared" ca="1" si="166"/>
        <v>6.7667366011825294</v>
      </c>
      <c r="K1487" s="3">
        <f t="shared" ca="1" si="167"/>
        <v>15.622880796160111</v>
      </c>
    </row>
    <row r="1488" spans="3:11" x14ac:dyDescent="0.35">
      <c r="C1488" t="str">
        <f t="shared" ca="1" si="161"/>
        <v>4Q2025</v>
      </c>
      <c r="D1488" vm="2944">
        <f ca="1"/>
        <v>46106</v>
      </c>
      <c r="E1488" vm="2945">
        <f ca="1"/>
        <v>178.68</v>
      </c>
      <c r="F1488" s="3">
        <f t="shared" ca="1" si="162"/>
        <v>1.7679012345679013</v>
      </c>
      <c r="G1488" s="3">
        <f t="shared" ca="1" si="163"/>
        <v>6.4728395061728392</v>
      </c>
      <c r="H1488" s="3">
        <f t="shared" ca="1" si="164"/>
        <v>2.8035802469135804</v>
      </c>
      <c r="I1488" s="3">
        <f t="shared" ca="1" si="165"/>
        <v>25.267248603351955</v>
      </c>
      <c r="J1488" s="3">
        <f t="shared" ca="1" si="166"/>
        <v>6.90114438298684</v>
      </c>
      <c r="K1488" s="3">
        <f t="shared" ca="1" si="167"/>
        <v>15.933198291426306</v>
      </c>
    </row>
    <row r="1489" spans="3:11" x14ac:dyDescent="0.35">
      <c r="C1489" t="str">
        <f t="shared" ca="1" si="161"/>
        <v>4Q2025</v>
      </c>
      <c r="D1489" vm="2946">
        <f ca="1"/>
        <v>46107</v>
      </c>
      <c r="E1489" vm="2947">
        <f ca="1"/>
        <v>171.24</v>
      </c>
      <c r="F1489" s="3">
        <f t="shared" ca="1" si="162"/>
        <v>1.7679012345679013</v>
      </c>
      <c r="G1489" s="3">
        <f t="shared" ca="1" si="163"/>
        <v>6.4728395061728392</v>
      </c>
      <c r="H1489" s="3">
        <f t="shared" ca="1" si="164"/>
        <v>2.8035802469135804</v>
      </c>
      <c r="I1489" s="3">
        <f t="shared" ca="1" si="165"/>
        <v>24.215153631284917</v>
      </c>
      <c r="J1489" s="3">
        <f t="shared" ca="1" si="166"/>
        <v>6.613789814991418</v>
      </c>
      <c r="K1489" s="3">
        <f t="shared" ca="1" si="167"/>
        <v>15.269760887753753</v>
      </c>
    </row>
    <row r="1490" spans="3:11" x14ac:dyDescent="0.35">
      <c r="C1490" t="str">
        <f t="shared" ca="1" si="161"/>
        <v>4Q2025</v>
      </c>
      <c r="D1490" vm="2948">
        <f ca="1"/>
        <v>46108</v>
      </c>
      <c r="E1490" vm="2949">
        <f ca="1"/>
        <v>167.52</v>
      </c>
      <c r="F1490" s="3">
        <f t="shared" ca="1" si="162"/>
        <v>1.7679012345679013</v>
      </c>
      <c r="G1490" s="3">
        <f t="shared" ca="1" si="163"/>
        <v>6.4728395061728392</v>
      </c>
      <c r="H1490" s="3">
        <f t="shared" ca="1" si="164"/>
        <v>2.8035802469135804</v>
      </c>
      <c r="I1490" s="3">
        <f t="shared" ca="1" si="165"/>
        <v>23.689106145251397</v>
      </c>
      <c r="J1490" s="3">
        <f t="shared" ca="1" si="166"/>
        <v>6.4701125309937062</v>
      </c>
      <c r="K1490" s="3">
        <f t="shared" ca="1" si="167"/>
        <v>14.938042185917478</v>
      </c>
    </row>
    <row r="1491" spans="3:11" x14ac:dyDescent="0.35">
      <c r="C1491" t="str">
        <f t="shared" ca="1" si="161"/>
        <v>4Q2025</v>
      </c>
      <c r="D1491" vm="2950">
        <f ca="1"/>
        <v>46111</v>
      </c>
      <c r="E1491" vm="2951">
        <f ca="1"/>
        <v>165.17</v>
      </c>
      <c r="F1491" s="3">
        <f t="shared" ca="1" si="162"/>
        <v>1.7679012345679013</v>
      </c>
      <c r="G1491" s="3">
        <f t="shared" ca="1" si="163"/>
        <v>6.4728395061728392</v>
      </c>
      <c r="H1491" s="3">
        <f t="shared" ca="1" si="164"/>
        <v>2.8035802469135804</v>
      </c>
      <c r="I1491" s="3">
        <f t="shared" ca="1" si="165"/>
        <v>23.356791201117318</v>
      </c>
      <c r="J1491" s="3">
        <f t="shared" ca="1" si="166"/>
        <v>6.3793486553499905</v>
      </c>
      <c r="K1491" s="3">
        <f t="shared" ca="1" si="167"/>
        <v>14.728488704918753</v>
      </c>
    </row>
    <row r="1492" spans="3:11" x14ac:dyDescent="0.35">
      <c r="C1492" t="str">
        <f t="shared" ca="1" si="161"/>
        <v>4Q2025</v>
      </c>
      <c r="D1492" vm="2952">
        <f ca="1"/>
        <v>46112</v>
      </c>
      <c r="E1492" vm="2953">
        <f ca="1"/>
        <v>174.4</v>
      </c>
      <c r="F1492" s="3">
        <f t="shared" ca="1" si="162"/>
        <v>1.7679012345679013</v>
      </c>
      <c r="G1492" s="3">
        <f t="shared" ca="1" si="163"/>
        <v>6.4728395061728392</v>
      </c>
      <c r="H1492" s="3">
        <f t="shared" ca="1" si="164"/>
        <v>2.8035802469135804</v>
      </c>
      <c r="I1492" s="3">
        <f t="shared" ca="1" si="165"/>
        <v>24.662011173184357</v>
      </c>
      <c r="J1492" s="3">
        <f t="shared" ca="1" si="166"/>
        <v>6.7358382605378608</v>
      </c>
      <c r="K1492" s="3">
        <f t="shared" ca="1" si="167"/>
        <v>15.551543440926505</v>
      </c>
    </row>
    <row r="1493" spans="3:11" x14ac:dyDescent="0.35">
      <c r="C1493" t="str">
        <f t="shared" ca="1" si="161"/>
        <v>4Q2025</v>
      </c>
      <c r="D1493" vm="2954">
        <f ca="1"/>
        <v>46113</v>
      </c>
      <c r="E1493" vm="2955">
        <f ca="1"/>
        <v>175.75</v>
      </c>
      <c r="F1493" s="3">
        <f t="shared" ca="1" si="162"/>
        <v>1.7679012345679013</v>
      </c>
      <c r="G1493" s="3">
        <f t="shared" ca="1" si="163"/>
        <v>6.4728395061728392</v>
      </c>
      <c r="H1493" s="3">
        <f t="shared" ca="1" si="164"/>
        <v>2.8035802469135804</v>
      </c>
      <c r="I1493" s="3">
        <f t="shared" ca="1" si="165"/>
        <v>24.852915502793294</v>
      </c>
      <c r="J1493" s="3">
        <f t="shared" ca="1" si="166"/>
        <v>6.787979210375739</v>
      </c>
      <c r="K1493" s="3">
        <f t="shared" ca="1" si="167"/>
        <v>15.671925227883218</v>
      </c>
    </row>
    <row r="1494" spans="3:11" x14ac:dyDescent="0.35">
      <c r="C1494" t="str">
        <f t="shared" ca="1" si="161"/>
        <v>4Q2025</v>
      </c>
      <c r="D1494" vm="2956">
        <f ca="1"/>
        <v>46114</v>
      </c>
      <c r="E1494" vm="2957">
        <f ca="1"/>
        <v>177.39</v>
      </c>
      <c r="F1494" s="3">
        <f t="shared" ca="1" si="162"/>
        <v>1.7679012345679013</v>
      </c>
      <c r="G1494" s="3">
        <f t="shared" ca="1" si="163"/>
        <v>6.4728395061728392</v>
      </c>
      <c r="H1494" s="3">
        <f t="shared" ca="1" si="164"/>
        <v>2.8035802469135804</v>
      </c>
      <c r="I1494" s="3">
        <f t="shared" ca="1" si="165"/>
        <v>25.084828910614522</v>
      </c>
      <c r="J1494" s="3">
        <f t="shared" ca="1" si="166"/>
        <v>6.8513208086973103</v>
      </c>
      <c r="K1494" s="3">
        <f t="shared" ca="1" si="167"/>
        <v>15.818166806112112</v>
      </c>
    </row>
    <row r="1495" spans="3:11" x14ac:dyDescent="0.35">
      <c r="C1495" t="str">
        <f t="shared" ca="1" si="161"/>
        <v>4Q2025</v>
      </c>
      <c r="D1495" vm="2958">
        <f ca="1"/>
        <v>46118</v>
      </c>
      <c r="E1495" vm="2959">
        <f ca="1"/>
        <v>177.64</v>
      </c>
      <c r="F1495" s="3">
        <f t="shared" ca="1" si="162"/>
        <v>1.7679012345679013</v>
      </c>
      <c r="G1495" s="3">
        <f t="shared" ca="1" si="163"/>
        <v>6.4728395061728392</v>
      </c>
      <c r="H1495" s="3">
        <f t="shared" ca="1" si="164"/>
        <v>2.8035802469135804</v>
      </c>
      <c r="I1495" s="3">
        <f t="shared" ca="1" si="165"/>
        <v>25.120181564245808</v>
      </c>
      <c r="J1495" s="3">
        <f t="shared" ca="1" si="166"/>
        <v>6.8609765401487692</v>
      </c>
      <c r="K1495" s="3">
        <f t="shared" ca="1" si="167"/>
        <v>15.840459729622614</v>
      </c>
    </row>
    <row r="1496" spans="3:11" x14ac:dyDescent="0.35">
      <c r="C1496" t="str">
        <f t="shared" ca="1" si="161"/>
        <v>4Q2025</v>
      </c>
      <c r="D1496" vm="2960">
        <f ca="1"/>
        <v>46119</v>
      </c>
      <c r="E1496" vm="2961">
        <f ca="1"/>
        <v>178.1</v>
      </c>
      <c r="F1496" s="3">
        <f t="shared" ca="1" si="162"/>
        <v>1.7679012345679013</v>
      </c>
      <c r="G1496" s="3">
        <f t="shared" ca="1" si="163"/>
        <v>6.4728395061728392</v>
      </c>
      <c r="H1496" s="3">
        <f t="shared" ca="1" si="164"/>
        <v>2.8035802469135804</v>
      </c>
      <c r="I1496" s="3">
        <f t="shared" ca="1" si="165"/>
        <v>25.185230446927374</v>
      </c>
      <c r="J1496" s="3">
        <f t="shared" ca="1" si="166"/>
        <v>6.8787430860194547</v>
      </c>
      <c r="K1496" s="3">
        <f t="shared" ca="1" si="167"/>
        <v>15.881478708881939</v>
      </c>
    </row>
    <row r="1497" spans="3:11" x14ac:dyDescent="0.35">
      <c r="C1497" t="str">
        <f t="shared" ca="1" si="161"/>
        <v>4Q2025</v>
      </c>
      <c r="D1497" vm="2962">
        <f ca="1"/>
        <v>46120</v>
      </c>
      <c r="E1497" vm="2963">
        <f ca="1"/>
        <v>182.08</v>
      </c>
      <c r="F1497" s="3">
        <f t="shared" ca="1" si="162"/>
        <v>1.7679012345679013</v>
      </c>
      <c r="G1497" s="3">
        <f t="shared" ca="1" si="163"/>
        <v>6.4728395061728392</v>
      </c>
      <c r="H1497" s="3">
        <f t="shared" ca="1" si="164"/>
        <v>2.8035802469135804</v>
      </c>
      <c r="I1497" s="3">
        <f t="shared" ca="1" si="165"/>
        <v>25.74804469273743</v>
      </c>
      <c r="J1497" s="3">
        <f t="shared" ca="1" si="166"/>
        <v>7.032462330726684</v>
      </c>
      <c r="K1497" s="3">
        <f t="shared" ca="1" si="167"/>
        <v>16.236382051169141</v>
      </c>
    </row>
    <row r="1498" spans="3:11" x14ac:dyDescent="0.35">
      <c r="C1498" t="str">
        <f t="shared" ca="1" si="161"/>
        <v>4Q2025</v>
      </c>
      <c r="D1498" vm="2964">
        <f ca="1"/>
        <v>46121</v>
      </c>
      <c r="E1498" vm="2965">
        <f ca="1"/>
        <v>183.91</v>
      </c>
      <c r="F1498" s="3">
        <f t="shared" ca="1" si="162"/>
        <v>1.7679012345679013</v>
      </c>
      <c r="G1498" s="3">
        <f t="shared" ca="1" si="163"/>
        <v>6.4728395061728392</v>
      </c>
      <c r="H1498" s="3">
        <f t="shared" ca="1" si="164"/>
        <v>2.8035802469135804</v>
      </c>
      <c r="I1498" s="3">
        <f t="shared" ca="1" si="165"/>
        <v>26.006826117318436</v>
      </c>
      <c r="J1498" s="3">
        <f t="shared" ca="1" si="166"/>
        <v>7.1031422849513639</v>
      </c>
      <c r="K1498" s="3">
        <f t="shared" ca="1" si="167"/>
        <v>16.399566251266016</v>
      </c>
    </row>
    <row r="1499" spans="3:11" x14ac:dyDescent="0.35">
      <c r="C1499" t="str">
        <f t="shared" ca="1" si="161"/>
        <v>4Q2025</v>
      </c>
      <c r="D1499" vm="2966">
        <f ca="1"/>
        <v>46122</v>
      </c>
      <c r="E1499" vm="2967">
        <f ca="1"/>
        <v>188.63</v>
      </c>
      <c r="F1499" s="3">
        <f t="shared" ca="1" si="162"/>
        <v>1.7679012345679013</v>
      </c>
      <c r="G1499" s="3">
        <f t="shared" ca="1" si="163"/>
        <v>6.4728395061728392</v>
      </c>
      <c r="H1499" s="3">
        <f t="shared" ca="1" si="164"/>
        <v>2.8035802469135804</v>
      </c>
      <c r="I1499" s="3">
        <f t="shared" ca="1" si="165"/>
        <v>26.674284217877094</v>
      </c>
      <c r="J1499" s="3">
        <f t="shared" ca="1" si="166"/>
        <v>7.2854424947549115</v>
      </c>
      <c r="K1499" s="3">
        <f t="shared" ca="1" si="167"/>
        <v>16.820456647144301</v>
      </c>
    </row>
    <row r="1500" spans="3:11" x14ac:dyDescent="0.35">
      <c r="C1500" t="str">
        <f t="shared" ca="1" si="161"/>
        <v>4Q2025</v>
      </c>
      <c r="D1500" vm="2968">
        <f ca="1"/>
        <v>46125</v>
      </c>
      <c r="E1500" vm="2969">
        <f ca="1"/>
        <v>189.31</v>
      </c>
      <c r="F1500" s="3">
        <f t="shared" ca="1" si="162"/>
        <v>1.7679012345679013</v>
      </c>
      <c r="G1500" s="3">
        <f t="shared" ca="1" si="163"/>
        <v>6.4728395061728392</v>
      </c>
      <c r="H1500" s="3">
        <f t="shared" ca="1" si="164"/>
        <v>2.8035802469135804</v>
      </c>
      <c r="I1500" s="3">
        <f t="shared" ca="1" si="165"/>
        <v>26.770443435754188</v>
      </c>
      <c r="J1500" s="3">
        <f t="shared" ca="1" si="166"/>
        <v>7.3117060843028803</v>
      </c>
      <c r="K1500" s="3">
        <f t="shared" ca="1" si="167"/>
        <v>16.881093399092869</v>
      </c>
    </row>
    <row r="1501" spans="3:11" x14ac:dyDescent="0.35">
      <c r="C1501" t="str">
        <f t="shared" ca="1" si="161"/>
        <v>4Q2025</v>
      </c>
      <c r="D1501" vm="2970">
        <f ca="1"/>
        <v>46126</v>
      </c>
      <c r="E1501" vm="2971">
        <f ca="1"/>
        <v>196.51</v>
      </c>
      <c r="F1501" s="3">
        <f t="shared" ca="1" si="162"/>
        <v>1.7679012345679013</v>
      </c>
      <c r="G1501" s="3">
        <f t="shared" ca="1" si="163"/>
        <v>6.4728395061728392</v>
      </c>
      <c r="H1501" s="3">
        <f t="shared" ca="1" si="164"/>
        <v>2.8035802469135804</v>
      </c>
      <c r="I1501" s="3">
        <f t="shared" ca="1" si="165"/>
        <v>27.788599860335193</v>
      </c>
      <c r="J1501" s="3">
        <f t="shared" ca="1" si="166"/>
        <v>7.5897911501049018</v>
      </c>
      <c r="K1501" s="3">
        <f t="shared" ca="1" si="167"/>
        <v>17.523129596195339</v>
      </c>
    </row>
    <row r="1502" spans="3:11" x14ac:dyDescent="0.35">
      <c r="C1502" t="str">
        <f t="shared" ca="1" si="161"/>
        <v>4Q2025</v>
      </c>
      <c r="D1502" vm="2972">
        <f ca="1"/>
        <v>46127</v>
      </c>
      <c r="E1502" vm="2973">
        <f ca="1"/>
        <v>198.87</v>
      </c>
      <c r="F1502" s="3">
        <f t="shared" ca="1" si="162"/>
        <v>1.7679012345679013</v>
      </c>
      <c r="G1502" s="3">
        <f t="shared" ca="1" si="163"/>
        <v>6.4728395061728392</v>
      </c>
      <c r="H1502" s="3">
        <f t="shared" ca="1" si="164"/>
        <v>2.8035802469135804</v>
      </c>
      <c r="I1502" s="3">
        <f t="shared" ca="1" si="165"/>
        <v>28.122328910614524</v>
      </c>
      <c r="J1502" s="3">
        <f t="shared" ca="1" si="166"/>
        <v>7.680941255006676</v>
      </c>
      <c r="K1502" s="3">
        <f t="shared" ca="1" si="167"/>
        <v>17.733574794134483</v>
      </c>
    </row>
    <row r="1503" spans="3:11" x14ac:dyDescent="0.35">
      <c r="C1503" t="str">
        <f t="shared" ca="1" si="161"/>
        <v>4Q2025</v>
      </c>
      <c r="D1503" vm="2974">
        <f ca="1"/>
        <v>46128</v>
      </c>
      <c r="E1503" vm="2975">
        <f ca="1"/>
        <v>198.35</v>
      </c>
      <c r="F1503" s="3">
        <f t="shared" ca="1" si="162"/>
        <v>1.7679012345679013</v>
      </c>
      <c r="G1503" s="3">
        <f t="shared" ca="1" si="163"/>
        <v>6.4728395061728392</v>
      </c>
      <c r="H1503" s="3">
        <f t="shared" ca="1" si="164"/>
        <v>2.8035802469135804</v>
      </c>
      <c r="I1503" s="3">
        <f t="shared" ca="1" si="165"/>
        <v>28.04879539106145</v>
      </c>
      <c r="J1503" s="3">
        <f t="shared" ca="1" si="166"/>
        <v>7.6608573335876411</v>
      </c>
      <c r="K1503" s="3">
        <f t="shared" ca="1" si="167"/>
        <v>17.687205513232637</v>
      </c>
    </row>
    <row r="1504" spans="3:11" x14ac:dyDescent="0.35">
      <c r="C1504" t="str">
        <f t="shared" ca="1" si="161"/>
        <v>4Q2025</v>
      </c>
      <c r="D1504" vm="2976">
        <f ca="1"/>
        <v>46129</v>
      </c>
      <c r="E1504" vm="2977">
        <f ca="1"/>
        <v>201.68</v>
      </c>
      <c r="F1504" s="3">
        <f t="shared" ca="1" si="162"/>
        <v>1.7679012345679013</v>
      </c>
      <c r="G1504" s="3">
        <f t="shared" ca="1" si="163"/>
        <v>6.4728395061728392</v>
      </c>
      <c r="H1504" s="3">
        <f t="shared" ca="1" si="164"/>
        <v>2.8035802469135804</v>
      </c>
      <c r="I1504" s="3">
        <f t="shared" ca="1" si="165"/>
        <v>28.519692737430169</v>
      </c>
      <c r="J1504" s="3">
        <f t="shared" ca="1" si="166"/>
        <v>7.7894716765210763</v>
      </c>
      <c r="K1504" s="3">
        <f t="shared" ca="1" si="167"/>
        <v>17.984147254392532</v>
      </c>
    </row>
    <row r="1505" spans="3:11" x14ac:dyDescent="0.35">
      <c r="C1505" t="str">
        <f t="shared" ca="1" si="161"/>
        <v>4Q2025</v>
      </c>
      <c r="D1505" vm="2978">
        <f ca="1"/>
        <v>46132</v>
      </c>
      <c r="E1505" vm="2979">
        <f ca="1"/>
        <v>202.06</v>
      </c>
      <c r="F1505" s="3">
        <f t="shared" ca="1" si="162"/>
        <v>1.7679012345679013</v>
      </c>
      <c r="G1505" s="3">
        <f t="shared" ca="1" si="163"/>
        <v>6.4728395061728392</v>
      </c>
      <c r="H1505" s="3">
        <f t="shared" ca="1" si="164"/>
        <v>2.8035802469135804</v>
      </c>
      <c r="I1505" s="3">
        <f t="shared" ca="1" si="165"/>
        <v>28.573428770949722</v>
      </c>
      <c r="J1505" s="3">
        <f t="shared" ca="1" si="166"/>
        <v>7.8041483883272944</v>
      </c>
      <c r="K1505" s="3">
        <f t="shared" ca="1" si="167"/>
        <v>18.018032498128495</v>
      </c>
    </row>
    <row r="1506" spans="3:11" x14ac:dyDescent="0.35">
      <c r="C1506" t="str">
        <f t="shared" ca="1" si="161"/>
        <v>4Q2025</v>
      </c>
      <c r="D1506" vm="2980">
        <f ca="1"/>
        <v>46133</v>
      </c>
      <c r="E1506" vm="2981">
        <f ca="1"/>
        <v>199.88</v>
      </c>
      <c r="F1506" s="3">
        <f t="shared" ca="1" si="162"/>
        <v>1.7679012345679013</v>
      </c>
      <c r="G1506" s="3">
        <f t="shared" ca="1" si="163"/>
        <v>6.4728395061728392</v>
      </c>
      <c r="H1506" s="3">
        <f t="shared" ca="1" si="164"/>
        <v>2.8035802469135804</v>
      </c>
      <c r="I1506" s="3">
        <f t="shared" ca="1" si="165"/>
        <v>28.265153631284914</v>
      </c>
      <c r="J1506" s="3">
        <f t="shared" ca="1" si="166"/>
        <v>7.7199504100705703</v>
      </c>
      <c r="K1506" s="3">
        <f t="shared" ca="1" si="167"/>
        <v>17.823638205116911</v>
      </c>
    </row>
    <row r="1507" spans="3:11" x14ac:dyDescent="0.35">
      <c r="C1507" t="str">
        <f t="shared" ca="1" si="161"/>
        <v>4Q2025</v>
      </c>
      <c r="D1507" vm="2982">
        <f ca="1"/>
        <v>46134</v>
      </c>
      <c r="E1507" vm="2983">
        <f ca="1"/>
        <v>202.5</v>
      </c>
      <c r="F1507" s="3">
        <f t="shared" ca="1" si="162"/>
        <v>1.7679012345679013</v>
      </c>
      <c r="G1507" s="3">
        <f t="shared" ca="1" si="163"/>
        <v>6.4728395061728392</v>
      </c>
      <c r="H1507" s="3">
        <f t="shared" ca="1" si="164"/>
        <v>2.8035802469135804</v>
      </c>
      <c r="I1507" s="3">
        <f t="shared" ca="1" si="165"/>
        <v>28.635649441340782</v>
      </c>
      <c r="J1507" s="3">
        <f t="shared" ca="1" si="166"/>
        <v>7.8211424756818619</v>
      </c>
      <c r="K1507" s="3">
        <f t="shared" ca="1" si="167"/>
        <v>18.05726804350698</v>
      </c>
    </row>
    <row r="1508" spans="3:11" x14ac:dyDescent="0.35">
      <c r="C1508" t="str">
        <f t="shared" ca="1" si="161"/>
        <v>4Q2025</v>
      </c>
      <c r="D1508" vm="2984">
        <f ca="1"/>
        <v>46135</v>
      </c>
      <c r="E1508" vm="2985">
        <f ca="1"/>
        <v>199.64</v>
      </c>
      <c r="F1508" s="3">
        <f t="shared" ca="1" si="162"/>
        <v>1.7679012345679013</v>
      </c>
      <c r="G1508" s="3">
        <f t="shared" ca="1" si="163"/>
        <v>6.4728395061728392</v>
      </c>
      <c r="H1508" s="3">
        <f t="shared" ca="1" si="164"/>
        <v>2.8035802469135804</v>
      </c>
      <c r="I1508" s="3">
        <f t="shared" ca="1" si="165"/>
        <v>28.23121508379888</v>
      </c>
      <c r="J1508" s="3">
        <f t="shared" ca="1" si="166"/>
        <v>7.710680907877169</v>
      </c>
      <c r="K1508" s="3">
        <f t="shared" ca="1" si="167"/>
        <v>17.802236998546828</v>
      </c>
    </row>
    <row r="1509" spans="3:11" x14ac:dyDescent="0.35">
      <c r="C1509" t="str">
        <f t="shared" ca="1" si="161"/>
        <v>4Q2025</v>
      </c>
      <c r="D1509" vm="2986">
        <f ca="1"/>
        <v>46136</v>
      </c>
      <c r="E1509" vm="2987">
        <f ca="1"/>
        <v>208.27</v>
      </c>
      <c r="F1509" s="3">
        <f t="shared" ca="1" si="162"/>
        <v>1.7679012345679013</v>
      </c>
      <c r="G1509" s="3">
        <f t="shared" ca="1" si="163"/>
        <v>6.4728395061728392</v>
      </c>
      <c r="H1509" s="3">
        <f t="shared" ca="1" si="164"/>
        <v>2.8035802469135804</v>
      </c>
      <c r="I1509" s="3">
        <f t="shared" ca="1" si="165"/>
        <v>29.451588687150839</v>
      </c>
      <c r="J1509" s="3">
        <f t="shared" ca="1" si="166"/>
        <v>8.0439967575815388</v>
      </c>
      <c r="K1509" s="3">
        <f t="shared" ca="1" si="167"/>
        <v>18.571788718129376</v>
      </c>
    </row>
    <row r="1510" spans="3:11" x14ac:dyDescent="0.35">
      <c r="C1510" t="str">
        <f t="shared" ca="1" si="161"/>
        <v>1Q2026</v>
      </c>
      <c r="D1510" vm="2988">
        <f ca="1"/>
        <v>46139</v>
      </c>
      <c r="E1510" vm="2989">
        <f ca="1"/>
        <v>216.61</v>
      </c>
      <c r="F1510" s="3">
        <f t="shared" ca="1" si="162"/>
        <v>2.4079686209744011</v>
      </c>
      <c r="G1510" s="3">
        <f t="shared" ca="1" si="163"/>
        <v>8.0706028075970266</v>
      </c>
      <c r="H1510" s="3">
        <f t="shared" ca="1" si="164"/>
        <v>3.369735755573906</v>
      </c>
      <c r="I1510" s="3">
        <f t="shared" ca="1" si="165"/>
        <v>22.488872790247083</v>
      </c>
      <c r="J1510" s="3">
        <f t="shared" ca="1" si="166"/>
        <v>6.7098457563820544</v>
      </c>
      <c r="K1510" s="3">
        <f t="shared" ca="1" si="167"/>
        <v>16.070251179317527</v>
      </c>
    </row>
    <row r="1511" spans="3:11" x14ac:dyDescent="0.35">
      <c r="C1511" t="str">
        <f t="shared" ca="1" si="161"/>
        <v>1Q2026</v>
      </c>
      <c r="D1511" vm="2990">
        <f ca="1"/>
        <v>46140</v>
      </c>
      <c r="E1511" vm="2991">
        <f ca="1"/>
        <v>213.17</v>
      </c>
      <c r="F1511" s="3">
        <f t="shared" ca="1" si="162"/>
        <v>2.4079686209744011</v>
      </c>
      <c r="G1511" s="3">
        <f t="shared" ca="1" si="163"/>
        <v>8.0706028075970266</v>
      </c>
      <c r="H1511" s="3">
        <f t="shared" ca="1" si="164"/>
        <v>3.369735755573906</v>
      </c>
      <c r="I1511" s="3">
        <f t="shared" ca="1" si="165"/>
        <v>22.131725279059001</v>
      </c>
      <c r="J1511" s="3">
        <f t="shared" ca="1" si="166"/>
        <v>6.603286182022817</v>
      </c>
      <c r="K1511" s="3">
        <f t="shared" ca="1" si="167"/>
        <v>15.81503828953011</v>
      </c>
    </row>
    <row r="1512" spans="3:11" x14ac:dyDescent="0.35">
      <c r="C1512" t="str">
        <f t="shared" ca="1" si="161"/>
        <v>1Q2026</v>
      </c>
      <c r="D1512" vm="2992">
        <f ca="1"/>
        <v>46141</v>
      </c>
      <c r="E1512" vm="2993">
        <f ca="1"/>
        <v>209.25</v>
      </c>
      <c r="F1512" s="3">
        <f t="shared" ca="1" si="162"/>
        <v>2.4079686209744011</v>
      </c>
      <c r="G1512" s="3">
        <f t="shared" ca="1" si="163"/>
        <v>8.0706028075970266</v>
      </c>
      <c r="H1512" s="3">
        <f t="shared" ca="1" si="164"/>
        <v>3.369735755573906</v>
      </c>
      <c r="I1512" s="3">
        <f t="shared" ca="1" si="165"/>
        <v>21.724743231426075</v>
      </c>
      <c r="J1512" s="3">
        <f t="shared" ca="1" si="166"/>
        <v>6.481857829846013</v>
      </c>
      <c r="K1512" s="3">
        <f t="shared" ca="1" si="167"/>
        <v>15.524214298842123</v>
      </c>
    </row>
    <row r="1513" spans="3:11" x14ac:dyDescent="0.35">
      <c r="C1513" t="str">
        <f t="shared" ca="1" si="161"/>
        <v>1Q2026</v>
      </c>
      <c r="D1513" vm="2994">
        <f ca="1"/>
        <v>46142</v>
      </c>
      <c r="E1513" vm="2995">
        <f ca="1"/>
        <v>199.57</v>
      </c>
      <c r="F1513" s="3">
        <f t="shared" ca="1" si="162"/>
        <v>2.4079686209744011</v>
      </c>
      <c r="G1513" s="3">
        <f t="shared" ca="1" si="163"/>
        <v>8.0706028075970266</v>
      </c>
      <c r="H1513" s="3">
        <f t="shared" ca="1" si="164"/>
        <v>3.369735755573906</v>
      </c>
      <c r="I1513" s="3">
        <f t="shared" ca="1" si="165"/>
        <v>20.719746746454966</v>
      </c>
      <c r="J1513" s="3">
        <f t="shared" ca="1" si="166"/>
        <v>6.1820041438583928</v>
      </c>
      <c r="K1513" s="3">
        <f t="shared" ca="1" si="167"/>
        <v>14.806057097347301</v>
      </c>
    </row>
    <row r="1514" spans="3:11" x14ac:dyDescent="0.35">
      <c r="C1514" t="str">
        <f t="shared" ca="1" si="161"/>
        <v>1Q2026</v>
      </c>
      <c r="D1514" vm="2996">
        <f ca="1"/>
        <v>46143</v>
      </c>
      <c r="E1514" vm="2997">
        <f ca="1"/>
        <v>198.45</v>
      </c>
      <c r="F1514" s="3">
        <f t="shared" ca="1" si="162"/>
        <v>2.4079686209744011</v>
      </c>
      <c r="G1514" s="3">
        <f t="shared" ca="1" si="163"/>
        <v>8.0706028075970266</v>
      </c>
      <c r="H1514" s="3">
        <f t="shared" ca="1" si="164"/>
        <v>3.369735755573906</v>
      </c>
      <c r="I1514" s="3">
        <f t="shared" ca="1" si="165"/>
        <v>20.603466161416986</v>
      </c>
      <c r="J1514" s="3">
        <f t="shared" ca="1" si="166"/>
        <v>6.1473103289507343</v>
      </c>
      <c r="K1514" s="3">
        <f t="shared" ca="1" si="167"/>
        <v>14.722964528579304</v>
      </c>
    </row>
    <row r="1515" spans="3:11" x14ac:dyDescent="0.35">
      <c r="C1515" t="str">
        <f t="shared" ca="1" si="161"/>
        <v>1Q2026</v>
      </c>
      <c r="D1515" vm="2998">
        <f ca="1"/>
        <v>46146</v>
      </c>
      <c r="E1515" vm="2999">
        <f ca="1"/>
        <v>198.48</v>
      </c>
      <c r="F1515" s="3">
        <f t="shared" ca="1" si="162"/>
        <v>2.4079686209744011</v>
      </c>
      <c r="G1515" s="3">
        <f t="shared" ca="1" si="163"/>
        <v>8.0706028075970266</v>
      </c>
      <c r="H1515" s="3">
        <f t="shared" ca="1" si="164"/>
        <v>3.369735755573906</v>
      </c>
      <c r="I1515" s="3">
        <f t="shared" ca="1" si="165"/>
        <v>20.606580819944789</v>
      </c>
      <c r="J1515" s="3">
        <f t="shared" ca="1" si="166"/>
        <v>6.1482396275643323</v>
      </c>
      <c r="K1515" s="3">
        <f t="shared" ca="1" si="167"/>
        <v>14.725190222385589</v>
      </c>
    </row>
    <row r="1516" spans="3:11" x14ac:dyDescent="0.35">
      <c r="C1516" t="str">
        <f t="shared" ca="1" si="161"/>
        <v>1Q2026</v>
      </c>
      <c r="D1516" vm="3000">
        <f ca="1"/>
        <v>46147</v>
      </c>
      <c r="E1516" vm="3001">
        <f ca="1"/>
        <v>196.5</v>
      </c>
      <c r="F1516" s="3">
        <f t="shared" ca="1" si="162"/>
        <v>2.4079686209744011</v>
      </c>
      <c r="G1516" s="3">
        <f t="shared" ca="1" si="163"/>
        <v>8.0706028075970266</v>
      </c>
      <c r="H1516" s="3">
        <f t="shared" ca="1" si="164"/>
        <v>3.369735755573906</v>
      </c>
      <c r="I1516" s="3">
        <f t="shared" ca="1" si="165"/>
        <v>20.40101335710979</v>
      </c>
      <c r="J1516" s="3">
        <f t="shared" ca="1" si="166"/>
        <v>6.0869059190668651</v>
      </c>
      <c r="K1516" s="3">
        <f t="shared" ca="1" si="167"/>
        <v>14.57829443117074</v>
      </c>
    </row>
    <row r="1517" spans="3:11" x14ac:dyDescent="0.35">
      <c r="C1517" t="str">
        <f t="shared" ca="1" si="161"/>
        <v>1Q2026</v>
      </c>
      <c r="D1517" vm="3002">
        <f ca="1"/>
        <v>46148</v>
      </c>
      <c r="E1517" vm="3003">
        <f ca="1"/>
        <v>207.83</v>
      </c>
      <c r="F1517" s="3">
        <f t="shared" ca="1" si="162"/>
        <v>2.4079686209744011</v>
      </c>
      <c r="G1517" s="3">
        <f t="shared" ca="1" si="163"/>
        <v>8.0706028075970266</v>
      </c>
      <c r="H1517" s="3">
        <f t="shared" ca="1" si="164"/>
        <v>3.369735755573906</v>
      </c>
      <c r="I1517" s="3">
        <f t="shared" ca="1" si="165"/>
        <v>21.577316061110068</v>
      </c>
      <c r="J1517" s="3">
        <f t="shared" ca="1" si="166"/>
        <v>6.4378710288023751</v>
      </c>
      <c r="K1517" s="3">
        <f t="shared" ca="1" si="167"/>
        <v>15.418864792011272</v>
      </c>
    </row>
    <row r="1518" spans="3:11" x14ac:dyDescent="0.35">
      <c r="C1518" t="str">
        <f t="shared" ca="1" si="161"/>
        <v>1Q2026</v>
      </c>
      <c r="D1518" vm="3004">
        <f ca="1"/>
        <v>46149</v>
      </c>
      <c r="E1518" vm="3005">
        <f ca="1"/>
        <v>211.5</v>
      </c>
      <c r="F1518" s="3">
        <f t="shared" ca="1" si="162"/>
        <v>2.4079686209744011</v>
      </c>
      <c r="G1518" s="3">
        <f t="shared" ca="1" si="163"/>
        <v>8.0706028075970266</v>
      </c>
      <c r="H1518" s="3">
        <f t="shared" ca="1" si="164"/>
        <v>3.369735755573906</v>
      </c>
      <c r="I1518" s="3">
        <f t="shared" ca="1" si="165"/>
        <v>21.958342621011301</v>
      </c>
      <c r="J1518" s="3">
        <f t="shared" ca="1" si="166"/>
        <v>6.5515552258658625</v>
      </c>
      <c r="K1518" s="3">
        <f t="shared" ca="1" si="167"/>
        <v>15.691141334313544</v>
      </c>
    </row>
    <row r="1519" spans="3:11" x14ac:dyDescent="0.35">
      <c r="C1519" t="str">
        <f t="shared" ca="1" si="161"/>
        <v>1Q2026</v>
      </c>
      <c r="D1519" vm="3006">
        <f ca="1"/>
        <v>46150</v>
      </c>
      <c r="E1519" vm="3007">
        <f ca="1"/>
        <v>215.2</v>
      </c>
      <c r="F1519" s="3">
        <f t="shared" ca="1" si="162"/>
        <v>2.4079686209744011</v>
      </c>
      <c r="G1519" s="3">
        <f t="shared" ca="1" si="163"/>
        <v>8.0706028075970266</v>
      </c>
      <c r="H1519" s="3">
        <f t="shared" ca="1" si="164"/>
        <v>3.369735755573906</v>
      </c>
      <c r="I1519" s="3">
        <f t="shared" ca="1" si="165"/>
        <v>22.342483839440341</v>
      </c>
      <c r="J1519" s="3">
        <f t="shared" ca="1" si="166"/>
        <v>6.6661687215429479</v>
      </c>
      <c r="K1519" s="3">
        <f t="shared" ca="1" si="167"/>
        <v>15.965643570422102</v>
      </c>
    </row>
    <row r="1520" spans="3:11" x14ac:dyDescent="0.35">
      <c r="C1520" t="str">
        <f t="shared" ca="1" si="161"/>
        <v>1Q2026</v>
      </c>
      <c r="D1520" vm="3008">
        <f ca="1"/>
        <v>46153</v>
      </c>
      <c r="E1520" vm="3009">
        <f ca="1"/>
        <v>219.44</v>
      </c>
      <c r="F1520" s="3">
        <f t="shared" ca="1" si="162"/>
        <v>2.4079686209744011</v>
      </c>
      <c r="G1520" s="3">
        <f t="shared" ca="1" si="163"/>
        <v>8.0706028075970266</v>
      </c>
      <c r="H1520" s="3">
        <f t="shared" ca="1" si="164"/>
        <v>3.369735755573906</v>
      </c>
      <c r="I1520" s="3">
        <f t="shared" ca="1" si="165"/>
        <v>22.782688911369835</v>
      </c>
      <c r="J1520" s="3">
        <f t="shared" ca="1" si="166"/>
        <v>6.7975095922647979</v>
      </c>
      <c r="K1520" s="3">
        <f t="shared" ca="1" si="167"/>
        <v>16.280208295043803</v>
      </c>
    </row>
    <row r="1521" spans="3:11" x14ac:dyDescent="0.35">
      <c r="C1521" t="str">
        <f t="shared" ca="1" si="161"/>
        <v>1Q2026</v>
      </c>
      <c r="D1521" vm="3010">
        <f ca="1"/>
        <v>46154</v>
      </c>
      <c r="E1521" vm="3011">
        <f ca="1"/>
        <v>220.78</v>
      </c>
      <c r="F1521" s="3">
        <f t="shared" ca="1" si="162"/>
        <v>2.4079686209744011</v>
      </c>
      <c r="G1521" s="3">
        <f t="shared" ca="1" si="163"/>
        <v>8.0706028075970266</v>
      </c>
      <c r="H1521" s="3">
        <f t="shared" ca="1" si="164"/>
        <v>3.369735755573906</v>
      </c>
      <c r="I1521" s="3">
        <f t="shared" ca="1" si="165"/>
        <v>22.921810325611702</v>
      </c>
      <c r="J1521" s="3">
        <f t="shared" ca="1" si="166"/>
        <v>6.839018263672175</v>
      </c>
      <c r="K1521" s="3">
        <f t="shared" ca="1" si="167"/>
        <v>16.379622618391227</v>
      </c>
    </row>
    <row r="1522" spans="3:11" x14ac:dyDescent="0.35">
      <c r="C1522" t="str">
        <f t="shared" ca="1" si="161"/>
        <v>1Q2026</v>
      </c>
      <c r="D1522" vm="3012">
        <f ca="1"/>
        <v>46155</v>
      </c>
      <c r="E1522" vm="3013">
        <f ca="1"/>
        <v>225.83</v>
      </c>
      <c r="F1522" s="3">
        <f t="shared" ca="1" si="162"/>
        <v>2.4079686209744011</v>
      </c>
      <c r="G1522" s="3">
        <f t="shared" ca="1" si="163"/>
        <v>8.0706028075970266</v>
      </c>
      <c r="H1522" s="3">
        <f t="shared" ca="1" si="164"/>
        <v>3.369735755573906</v>
      </c>
      <c r="I1522" s="3">
        <f t="shared" ca="1" si="165"/>
        <v>23.446111177791881</v>
      </c>
      <c r="J1522" s="3">
        <f t="shared" ca="1" si="166"/>
        <v>6.9954501969611718</v>
      </c>
      <c r="K1522" s="3">
        <f t="shared" ca="1" si="167"/>
        <v>16.754281075782639</v>
      </c>
    </row>
    <row r="1523" spans="3:11" x14ac:dyDescent="0.35">
      <c r="C1523" t="str">
        <f t="shared" ca="1" si="161"/>
        <v>1Q2026</v>
      </c>
      <c r="D1523" vm="3014">
        <f ca="1"/>
        <v>46156</v>
      </c>
      <c r="E1523" vm="3015">
        <f ca="1"/>
        <v>235.74</v>
      </c>
      <c r="F1523" s="3">
        <f t="shared" ca="1" si="162"/>
        <v>2.4079686209744011</v>
      </c>
      <c r="G1523" s="3">
        <f t="shared" ca="1" si="163"/>
        <v>8.0706028075970266</v>
      </c>
      <c r="H1523" s="3">
        <f t="shared" ca="1" si="164"/>
        <v>3.369735755573906</v>
      </c>
      <c r="I1523" s="3">
        <f t="shared" ca="1" si="165"/>
        <v>24.474986711476145</v>
      </c>
      <c r="J1523" s="3">
        <f t="shared" ca="1" si="166"/>
        <v>7.302428505653042</v>
      </c>
      <c r="K1523" s="3">
        <f t="shared" ca="1" si="167"/>
        <v>17.489501929792318</v>
      </c>
    </row>
    <row r="1524" spans="3:11" x14ac:dyDescent="0.35">
      <c r="C1524" t="str">
        <f t="shared" ca="1" si="161"/>
        <v>1Q2026</v>
      </c>
      <c r="D1524" vm="3016">
        <f ca="1"/>
        <v>46157</v>
      </c>
      <c r="E1524" vm="3017">
        <f ca="1"/>
        <v>225.32</v>
      </c>
      <c r="F1524" s="3">
        <f t="shared" ca="1" si="162"/>
        <v>2.4079686209744011</v>
      </c>
      <c r="G1524" s="3">
        <f t="shared" ca="1" si="163"/>
        <v>8.0706028075970266</v>
      </c>
      <c r="H1524" s="3">
        <f t="shared" ca="1" si="164"/>
        <v>3.369735755573906</v>
      </c>
      <c r="I1524" s="3">
        <f t="shared" ca="1" si="165"/>
        <v>23.393161982819226</v>
      </c>
      <c r="J1524" s="3">
        <f t="shared" ca="1" si="166"/>
        <v>6.9796521205300053</v>
      </c>
      <c r="K1524" s="3">
        <f t="shared" ca="1" si="167"/>
        <v>16.716444281075781</v>
      </c>
    </row>
    <row r="1525" spans="3:11" x14ac:dyDescent="0.35">
      <c r="C1525" t="str">
        <f t="shared" ca="1" si="161"/>
        <v>1Q2026</v>
      </c>
      <c r="D1525" vm="3018">
        <f ca="1"/>
        <v>46160</v>
      </c>
      <c r="E1525" vm="3019">
        <f ca="1"/>
        <v>222.32</v>
      </c>
      <c r="F1525" s="3">
        <f t="shared" ca="1" si="162"/>
        <v>2.4079686209744011</v>
      </c>
      <c r="G1525" s="3">
        <f t="shared" ca="1" si="163"/>
        <v>8.0706028075970266</v>
      </c>
      <c r="H1525" s="3">
        <f t="shared" ca="1" si="164"/>
        <v>3.369735755573906</v>
      </c>
      <c r="I1525" s="3">
        <f t="shared" ca="1" si="165"/>
        <v>23.081696130038925</v>
      </c>
      <c r="J1525" s="3">
        <f t="shared" ca="1" si="166"/>
        <v>6.8867222591702051</v>
      </c>
      <c r="K1525" s="3">
        <f t="shared" ca="1" si="167"/>
        <v>16.493874900447221</v>
      </c>
    </row>
    <row r="1526" spans="3:11" x14ac:dyDescent="0.35">
      <c r="C1526" t="str">
        <f t="shared" ca="1" si="161"/>
        <v>1Q2026</v>
      </c>
      <c r="D1526" vm="3020">
        <f ca="1"/>
        <v>46161</v>
      </c>
      <c r="E1526" vm="3021">
        <f ca="1"/>
        <v>220.61</v>
      </c>
      <c r="F1526" s="3">
        <f t="shared" ca="1" si="162"/>
        <v>2.4079686209744011</v>
      </c>
      <c r="G1526" s="3">
        <f t="shared" ca="1" si="163"/>
        <v>8.0706028075970266</v>
      </c>
      <c r="H1526" s="3">
        <f t="shared" ca="1" si="164"/>
        <v>3.369735755573906</v>
      </c>
      <c r="I1526" s="3">
        <f t="shared" ca="1" si="165"/>
        <v>22.904160593954153</v>
      </c>
      <c r="J1526" s="3">
        <f t="shared" ca="1" si="166"/>
        <v>6.8337522381951201</v>
      </c>
      <c r="K1526" s="3">
        <f t="shared" ca="1" si="167"/>
        <v>16.367010353488944</v>
      </c>
    </row>
    <row r="1527" spans="3:11" x14ac:dyDescent="0.35">
      <c r="C1527" t="str">
        <f t="shared" ca="1" si="161"/>
        <v>1Q2026</v>
      </c>
      <c r="D1527" vm="3022">
        <f ca="1"/>
        <v>46162</v>
      </c>
      <c r="E1527" vm="3023">
        <f ca="1"/>
        <v>223.47</v>
      </c>
      <c r="F1527" s="3">
        <f t="shared" ca="1" si="162"/>
        <v>2.4079686209744011</v>
      </c>
      <c r="G1527" s="3">
        <f t="shared" ca="1" si="163"/>
        <v>8.0706028075970266</v>
      </c>
      <c r="H1527" s="3">
        <f t="shared" ca="1" si="164"/>
        <v>3.369735755573906</v>
      </c>
      <c r="I1527" s="3">
        <f t="shared" ca="1" si="165"/>
        <v>23.201091373604708</v>
      </c>
      <c r="J1527" s="3">
        <f t="shared" ca="1" si="166"/>
        <v>6.9223453726914617</v>
      </c>
      <c r="K1527" s="3">
        <f t="shared" ca="1" si="167"/>
        <v>16.579193163021504</v>
      </c>
    </row>
    <row r="1528" spans="3:11" x14ac:dyDescent="0.35">
      <c r="C1528" t="str">
        <f t="shared" ca="1" si="161"/>
        <v>1Q2026</v>
      </c>
      <c r="D1528" vm="3024">
        <f ca="1"/>
        <v>46163</v>
      </c>
      <c r="E1528" vm="3025">
        <f ca="1"/>
        <v>219.51</v>
      </c>
      <c r="F1528" s="3">
        <f t="shared" ca="1" si="162"/>
        <v>2.4079686209744011</v>
      </c>
      <c r="G1528" s="3">
        <f t="shared" ca="1" si="163"/>
        <v>8.0706028075970266</v>
      </c>
      <c r="H1528" s="3">
        <f t="shared" ca="1" si="164"/>
        <v>3.369735755573906</v>
      </c>
      <c r="I1528" s="3">
        <f t="shared" ca="1" si="165"/>
        <v>22.789956447934706</v>
      </c>
      <c r="J1528" s="3">
        <f t="shared" ca="1" si="166"/>
        <v>6.7996779556965263</v>
      </c>
      <c r="K1528" s="3">
        <f t="shared" ca="1" si="167"/>
        <v>16.285401580591802</v>
      </c>
    </row>
    <row r="1529" spans="3:11" x14ac:dyDescent="0.35">
      <c r="C1529" t="str">
        <f t="shared" ca="1" si="161"/>
        <v>1Q2026</v>
      </c>
      <c r="D1529" vm="3026">
        <f ca="1"/>
        <v>46164</v>
      </c>
      <c r="E1529" vm="3027">
        <f ca="1"/>
        <v>215.33</v>
      </c>
      <c r="F1529" s="3">
        <f t="shared" ca="1" si="162"/>
        <v>2.4079686209744011</v>
      </c>
      <c r="G1529" s="3">
        <f t="shared" ca="1" si="163"/>
        <v>8.0706028075970266</v>
      </c>
      <c r="H1529" s="3">
        <f t="shared" ca="1" si="164"/>
        <v>3.369735755573906</v>
      </c>
      <c r="I1529" s="3">
        <f t="shared" ca="1" si="165"/>
        <v>22.355980693060822</v>
      </c>
      <c r="J1529" s="3">
        <f t="shared" ca="1" si="166"/>
        <v>6.6701956822018733</v>
      </c>
      <c r="K1529" s="3">
        <f t="shared" ca="1" si="167"/>
        <v>15.975288243582675</v>
      </c>
    </row>
    <row r="1530" spans="3:11" x14ac:dyDescent="0.35">
      <c r="C1530" t="str">
        <f t="shared" ca="1" si="161"/>
        <v>1Q2026</v>
      </c>
      <c r="D1530" vm="3028">
        <f ca="1"/>
        <v>46168</v>
      </c>
      <c r="E1530" vm="3029">
        <f ca="1"/>
        <v>214.86</v>
      </c>
      <c r="F1530" s="3">
        <f t="shared" ca="1" si="162"/>
        <v>2.4079686209744011</v>
      </c>
      <c r="G1530" s="3">
        <f t="shared" ca="1" si="163"/>
        <v>8.0706028075970266</v>
      </c>
      <c r="H1530" s="3">
        <f t="shared" ca="1" si="164"/>
        <v>3.369735755573906</v>
      </c>
      <c r="I1530" s="3">
        <f t="shared" ca="1" si="165"/>
        <v>22.307184376125242</v>
      </c>
      <c r="J1530" s="3">
        <f t="shared" ca="1" si="166"/>
        <v>6.6556366705888381</v>
      </c>
      <c r="K1530" s="3">
        <f t="shared" ca="1" si="167"/>
        <v>15.940419040617535</v>
      </c>
    </row>
    <row r="1531" spans="3:11" x14ac:dyDescent="0.35">
      <c r="C1531" t="str">
        <f t="shared" ca="1" si="161"/>
        <v>1Q2026</v>
      </c>
      <c r="D1531" vm="3030">
        <f ca="1"/>
        <v>46169</v>
      </c>
      <c r="E1531" vm="3031">
        <f ca="1"/>
        <v>212.6</v>
      </c>
      <c r="F1531" s="3">
        <f t="shared" ca="1" si="162"/>
        <v>2.4079686209744011</v>
      </c>
      <c r="G1531" s="3">
        <f t="shared" ca="1" si="163"/>
        <v>8.0706028075970266</v>
      </c>
      <c r="H1531" s="3">
        <f t="shared" ca="1" si="164"/>
        <v>3.369735755573906</v>
      </c>
      <c r="I1531" s="3">
        <f t="shared" ca="1" si="165"/>
        <v>22.072546767030744</v>
      </c>
      <c r="J1531" s="3">
        <f t="shared" ca="1" si="166"/>
        <v>6.5856295083644554</v>
      </c>
      <c r="K1531" s="3">
        <f t="shared" ca="1" si="167"/>
        <v>15.772750107210683</v>
      </c>
    </row>
    <row r="1532" spans="3:11" x14ac:dyDescent="0.35">
      <c r="C1532" t="str">
        <f t="shared" ca="1" si="161"/>
        <v>1Q2026</v>
      </c>
      <c r="D1532" vm="3032">
        <f ca="1"/>
        <v>46170</v>
      </c>
      <c r="E1532" vm="3033">
        <f ca="1"/>
        <v>214.25</v>
      </c>
      <c r="F1532" s="3">
        <f t="shared" ca="1" si="162"/>
        <v>2.4079686209744011</v>
      </c>
      <c r="G1532" s="3">
        <f t="shared" ca="1" si="163"/>
        <v>8.0706028075970266</v>
      </c>
      <c r="H1532" s="3">
        <f t="shared" ca="1" si="164"/>
        <v>3.369735755573906</v>
      </c>
      <c r="I1532" s="3">
        <f t="shared" ca="1" si="165"/>
        <v>22.243852986059913</v>
      </c>
      <c r="J1532" s="3">
        <f t="shared" ca="1" si="166"/>
        <v>6.6367409321123452</v>
      </c>
      <c r="K1532" s="3">
        <f t="shared" ca="1" si="167"/>
        <v>15.895163266556391</v>
      </c>
    </row>
    <row r="1533" spans="3:11" x14ac:dyDescent="0.35">
      <c r="C1533" t="str">
        <f t="shared" ca="1" si="161"/>
        <v>1Q2026</v>
      </c>
      <c r="D1533" vm="3034">
        <f ca="1"/>
        <v>46171</v>
      </c>
      <c r="E1533" vm="3035">
        <f ca="1"/>
        <v>211.14</v>
      </c>
      <c r="F1533" s="3">
        <f t="shared" ca="1" si="162"/>
        <v>2.4079686209744011</v>
      </c>
      <c r="G1533" s="3">
        <f t="shared" ca="1" si="163"/>
        <v>8.0706028075970266</v>
      </c>
      <c r="H1533" s="3">
        <f t="shared" ca="1" si="164"/>
        <v>3.369735755573906</v>
      </c>
      <c r="I1533" s="3">
        <f t="shared" ca="1" si="165"/>
        <v>21.920966718677665</v>
      </c>
      <c r="J1533" s="3">
        <f t="shared" ca="1" si="166"/>
        <v>6.5404036425026861</v>
      </c>
      <c r="K1533" s="3">
        <f t="shared" ca="1" si="167"/>
        <v>15.664433008638117</v>
      </c>
    </row>
    <row r="1534" spans="3:11" x14ac:dyDescent="0.35">
      <c r="C1534" t="str">
        <f t="shared" ca="1" si="161"/>
        <v>1Q2026</v>
      </c>
      <c r="D1534" vm="3036">
        <f ca="1"/>
        <v>46174</v>
      </c>
      <c r="E1534" vm="3037">
        <f ca="1"/>
        <v>224.36</v>
      </c>
      <c r="F1534" s="3">
        <f t="shared" ca="1" si="162"/>
        <v>2.4079686209744011</v>
      </c>
      <c r="G1534" s="3">
        <f t="shared" ca="1" si="163"/>
        <v>8.0706028075970266</v>
      </c>
      <c r="H1534" s="3">
        <f t="shared" ca="1" si="164"/>
        <v>3.369735755573906</v>
      </c>
      <c r="I1534" s="3">
        <f t="shared" ca="1" si="165"/>
        <v>23.29349290992953</v>
      </c>
      <c r="J1534" s="3">
        <f t="shared" ca="1" si="166"/>
        <v>6.9499145648948701</v>
      </c>
      <c r="K1534" s="3">
        <f t="shared" ca="1" si="167"/>
        <v>16.645222079274642</v>
      </c>
    </row>
    <row r="1535" spans="3:11" x14ac:dyDescent="0.35">
      <c r="C1535" t="str">
        <f t="shared" ca="1" si="161"/>
        <v>1Q2026</v>
      </c>
      <c r="D1535" vm="3038">
        <f ca="1"/>
        <v>46175</v>
      </c>
      <c r="E1535" vm="3039">
        <f ca="1"/>
        <v>222.82</v>
      </c>
      <c r="F1535" s="3">
        <f t="shared" ca="1" si="162"/>
        <v>2.4079686209744011</v>
      </c>
      <c r="G1535" s="3">
        <f t="shared" ca="1" si="163"/>
        <v>8.0706028075970266</v>
      </c>
      <c r="H1535" s="3">
        <f t="shared" ca="1" si="164"/>
        <v>3.369735755573906</v>
      </c>
      <c r="I1535" s="3">
        <f t="shared" ca="1" si="165"/>
        <v>23.133607105502307</v>
      </c>
      <c r="J1535" s="3">
        <f t="shared" ca="1" si="166"/>
        <v>6.9022105693968383</v>
      </c>
      <c r="K1535" s="3">
        <f t="shared" ca="1" si="167"/>
        <v>16.530969797218646</v>
      </c>
    </row>
    <row r="1536" spans="3:11" x14ac:dyDescent="0.35">
      <c r="C1536" t="str">
        <f t="shared" ca="1" si="161"/>
        <v>1Q2026</v>
      </c>
      <c r="D1536" vm="3040">
        <f ca="1"/>
        <v>46176</v>
      </c>
      <c r="E1536" vm="3041">
        <f ca="1"/>
        <v>214.75</v>
      </c>
      <c r="F1536" s="3">
        <f t="shared" ca="1" si="162"/>
        <v>2.4079686209744011</v>
      </c>
      <c r="G1536" s="3">
        <f t="shared" ca="1" si="163"/>
        <v>8.0706028075970266</v>
      </c>
      <c r="H1536" s="3">
        <f t="shared" ca="1" si="164"/>
        <v>3.369735755573906</v>
      </c>
      <c r="I1536" s="3">
        <f t="shared" ca="1" si="165"/>
        <v>22.295763961523296</v>
      </c>
      <c r="J1536" s="3">
        <f t="shared" ca="1" si="166"/>
        <v>6.6522292423389784</v>
      </c>
      <c r="K1536" s="3">
        <f t="shared" ca="1" si="167"/>
        <v>15.932258163327818</v>
      </c>
    </row>
    <row r="1537" spans="3:11" x14ac:dyDescent="0.35">
      <c r="C1537" t="str">
        <f t="shared" ca="1" si="161"/>
        <v>1Q2026</v>
      </c>
      <c r="D1537" vm="3042">
        <f ca="1"/>
        <v>46177</v>
      </c>
      <c r="E1537" vm="3043">
        <f ca="1"/>
        <v>218.66</v>
      </c>
      <c r="F1537" s="3">
        <f t="shared" ca="1" si="162"/>
        <v>2.4079686209744011</v>
      </c>
      <c r="G1537" s="3">
        <f t="shared" ca="1" si="163"/>
        <v>8.0706028075970266</v>
      </c>
      <c r="H1537" s="3">
        <f t="shared" ca="1" si="164"/>
        <v>3.369735755573906</v>
      </c>
      <c r="I1537" s="3">
        <f t="shared" ca="1" si="165"/>
        <v>22.701707789646957</v>
      </c>
      <c r="J1537" s="3">
        <f t="shared" ca="1" si="166"/>
        <v>6.77334782831125</v>
      </c>
      <c r="K1537" s="3">
        <f t="shared" ca="1" si="167"/>
        <v>16.222340256080376</v>
      </c>
    </row>
    <row r="1538" spans="3:11" x14ac:dyDescent="0.35">
      <c r="C1538" t="str">
        <f t="shared" ca="1" si="161"/>
        <v>1Q2026</v>
      </c>
      <c r="D1538" vm="3044">
        <f ca="1"/>
        <v>46178</v>
      </c>
      <c r="E1538" vm="3045">
        <f ca="1"/>
        <v>205.1</v>
      </c>
      <c r="F1538" s="3">
        <f t="shared" ca="1" si="162"/>
        <v>2.4079686209744011</v>
      </c>
      <c r="G1538" s="3">
        <f t="shared" ca="1" si="163"/>
        <v>8.0706028075970266</v>
      </c>
      <c r="H1538" s="3">
        <f t="shared" ca="1" si="164"/>
        <v>3.369735755573906</v>
      </c>
      <c r="I1538" s="3">
        <f t="shared" ca="1" si="165"/>
        <v>21.29388213507999</v>
      </c>
      <c r="J1538" s="3">
        <f t="shared" ca="1" si="166"/>
        <v>6.3533048549649562</v>
      </c>
      <c r="K1538" s="3">
        <f t="shared" ca="1" si="167"/>
        <v>15.21632665563928</v>
      </c>
    </row>
    <row r="1539" spans="3:11" x14ac:dyDescent="0.35">
      <c r="C1539" t="str">
        <f t="shared" ref="C1539:C1601" ca="1" si="168">LOOKUP(D1539,$N$2:$N$27,$M$2:$M$27)</f>
        <v>1Q2026</v>
      </c>
      <c r="D1539" vm="3046">
        <f ca="1"/>
        <v>46181</v>
      </c>
      <c r="E1539" vm="3047">
        <f ca="1"/>
        <v>208.64</v>
      </c>
      <c r="F1539" s="3">
        <f t="shared" ca="1" si="162"/>
        <v>2.4079686209744011</v>
      </c>
      <c r="G1539" s="3">
        <f t="shared" ca="1" si="163"/>
        <v>8.0706028075970266</v>
      </c>
      <c r="H1539" s="3">
        <f t="shared" ca="1" si="164"/>
        <v>3.369735755573906</v>
      </c>
      <c r="I1539" s="3">
        <f t="shared" ca="1" si="165"/>
        <v>21.661411841360746</v>
      </c>
      <c r="J1539" s="3">
        <f t="shared" ca="1" si="166"/>
        <v>6.46296209136952</v>
      </c>
      <c r="K1539" s="3">
        <f t="shared" ca="1" si="167"/>
        <v>15.478958524780982</v>
      </c>
    </row>
    <row r="1540" spans="3:11" x14ac:dyDescent="0.35">
      <c r="C1540" t="str">
        <f t="shared" ca="1" si="168"/>
        <v>1Q2026</v>
      </c>
      <c r="D1540" vm="3048">
        <f ca="1"/>
        <v>46182</v>
      </c>
      <c r="E1540" vm="3049">
        <f ca="1"/>
        <v>208.19</v>
      </c>
      <c r="F1540" s="3">
        <f t="shared" ref="F1540:F1601" ca="1" si="169">VLOOKUP($C1540,$M$2:$R$27,4,0)/VLOOKUP($C1540,$M$2:$R$27,3,0)</f>
        <v>2.4079686209744011</v>
      </c>
      <c r="G1540" s="3">
        <f t="shared" ref="G1540:G1600" ca="1" si="170">VLOOKUP($C1540,$M$2:$R$27,6,0)/VLOOKUP($C1540,$M$2:$R$27,3,0)</f>
        <v>8.0706028075970266</v>
      </c>
      <c r="H1540" s="3">
        <f t="shared" ref="H1540:H1601" ca="1" si="171">VLOOKUP($C1540,$M$2:$R$27,5,0)/VLOOKUP($C1540,$M$2:$R$27,3,0)</f>
        <v>3.369735755573906</v>
      </c>
      <c r="I1540" s="3">
        <f t="shared" ref="I1540:I1601" ca="1" si="172">$E1540/(F1540*4)</f>
        <v>21.6146919634437</v>
      </c>
      <c r="J1540" s="3">
        <f t="shared" ref="J1540:J1601" ca="1" si="173">$E1540/(G1540*4)</f>
        <v>6.4490226121655505</v>
      </c>
      <c r="K1540" s="3">
        <f t="shared" ref="K1540:K1601" ca="1" si="174">$E1540/(H1540*4)</f>
        <v>15.445573117686699</v>
      </c>
    </row>
    <row r="1541" spans="3:11" x14ac:dyDescent="0.35">
      <c r="C1541" t="str">
        <f t="shared" ca="1" si="168"/>
        <v>1Q2026</v>
      </c>
      <c r="D1541" vm="3050">
        <f ca="1"/>
        <v>46183</v>
      </c>
      <c r="E1541" vm="3051">
        <f ca="1"/>
        <v>200.42</v>
      </c>
      <c r="F1541" s="3">
        <f t="shared" ca="1" si="169"/>
        <v>2.4079686209744011</v>
      </c>
      <c r="G1541" s="3">
        <f t="shared" ca="1" si="170"/>
        <v>8.0706028075970266</v>
      </c>
      <c r="H1541" s="3">
        <f t="shared" ca="1" si="171"/>
        <v>3.369735755573906</v>
      </c>
      <c r="I1541" s="3">
        <f t="shared" ca="1" si="172"/>
        <v>20.807995404742716</v>
      </c>
      <c r="J1541" s="3">
        <f t="shared" ca="1" si="173"/>
        <v>6.2083342712436691</v>
      </c>
      <c r="K1541" s="3">
        <f t="shared" ca="1" si="174"/>
        <v>14.869118421858726</v>
      </c>
    </row>
    <row r="1542" spans="3:11" x14ac:dyDescent="0.35">
      <c r="C1542" t="str">
        <f t="shared" ca="1" si="168"/>
        <v>1Q2026</v>
      </c>
      <c r="D1542" vm="3052">
        <f ca="1"/>
        <v>46184</v>
      </c>
      <c r="E1542" vm="3053">
        <f ca="1"/>
        <v>204.87</v>
      </c>
      <c r="F1542" s="3">
        <f t="shared" ca="1" si="169"/>
        <v>2.4079686209744011</v>
      </c>
      <c r="G1542" s="3">
        <f t="shared" ca="1" si="170"/>
        <v>8.0706028075970266</v>
      </c>
      <c r="H1542" s="3">
        <f t="shared" ca="1" si="171"/>
        <v>3.369735755573906</v>
      </c>
      <c r="I1542" s="3">
        <f t="shared" ca="1" si="172"/>
        <v>21.270003086366835</v>
      </c>
      <c r="J1542" s="3">
        <f t="shared" ca="1" si="173"/>
        <v>6.3461802322607053</v>
      </c>
      <c r="K1542" s="3">
        <f t="shared" ca="1" si="174"/>
        <v>15.199263003124425</v>
      </c>
    </row>
    <row r="1543" spans="3:11" x14ac:dyDescent="0.35">
      <c r="C1543" t="str">
        <f t="shared" ca="1" si="168"/>
        <v>1Q2026</v>
      </c>
      <c r="D1543" vm="3054">
        <f ca="1"/>
        <v>46185</v>
      </c>
      <c r="E1543" vm="3055">
        <f ca="1"/>
        <v>205.19</v>
      </c>
      <c r="F1543" s="3">
        <f t="shared" ca="1" si="169"/>
        <v>2.4079686209744011</v>
      </c>
      <c r="G1543" s="3">
        <f t="shared" ca="1" si="170"/>
        <v>8.0706028075970266</v>
      </c>
      <c r="H1543" s="3">
        <f t="shared" ca="1" si="171"/>
        <v>3.369735755573906</v>
      </c>
      <c r="I1543" s="3">
        <f t="shared" ca="1" si="172"/>
        <v>21.303226110663399</v>
      </c>
      <c r="J1543" s="3">
        <f t="shared" ca="1" si="173"/>
        <v>6.3560927508057503</v>
      </c>
      <c r="K1543" s="3">
        <f t="shared" ca="1" si="174"/>
        <v>15.223003737058137</v>
      </c>
    </row>
    <row r="1544" spans="3:11" x14ac:dyDescent="0.35">
      <c r="C1544" t="str">
        <f t="shared" ca="1" si="168"/>
        <v>1Q2026</v>
      </c>
      <c r="D1544" vm="3056">
        <f ca="1"/>
        <v>46188</v>
      </c>
      <c r="E1544" vm="3057">
        <f ca="1"/>
        <v>212.45</v>
      </c>
      <c r="F1544" s="3">
        <f t="shared" ca="1" si="169"/>
        <v>2.4079686209744011</v>
      </c>
      <c r="G1544" s="3">
        <f t="shared" ca="1" si="170"/>
        <v>8.0706028075970266</v>
      </c>
      <c r="H1544" s="3">
        <f t="shared" ca="1" si="171"/>
        <v>3.369735755573906</v>
      </c>
      <c r="I1544" s="3">
        <f t="shared" ca="1" si="172"/>
        <v>22.056973474391729</v>
      </c>
      <c r="J1544" s="3">
        <f t="shared" ca="1" si="173"/>
        <v>6.5809830152964652</v>
      </c>
      <c r="K1544" s="3">
        <f t="shared" ca="1" si="174"/>
        <v>15.761621638179255</v>
      </c>
    </row>
    <row r="1545" spans="3:11" x14ac:dyDescent="0.35">
      <c r="C1545" t="str">
        <f t="shared" ca="1" si="168"/>
        <v>1Q2026</v>
      </c>
      <c r="D1545" vm="3058">
        <f ca="1"/>
        <v>46189</v>
      </c>
      <c r="E1545" vm="3059">
        <f ca="1"/>
        <v>207.41</v>
      </c>
      <c r="F1545" s="3">
        <f t="shared" ca="1" si="169"/>
        <v>2.4079686209744011</v>
      </c>
      <c r="G1545" s="3">
        <f t="shared" ca="1" si="170"/>
        <v>8.0706028075970266</v>
      </c>
      <c r="H1545" s="3">
        <f t="shared" ca="1" si="171"/>
        <v>3.369735755573906</v>
      </c>
      <c r="I1545" s="3">
        <f t="shared" ca="1" si="172"/>
        <v>21.533710841720822</v>
      </c>
      <c r="J1545" s="3">
        <f t="shared" ca="1" si="173"/>
        <v>6.4248608482120027</v>
      </c>
      <c r="K1545" s="3">
        <f t="shared" ca="1" si="174"/>
        <v>15.387705078723274</v>
      </c>
    </row>
    <row r="1546" spans="3:11" x14ac:dyDescent="0.35">
      <c r="C1546" t="str">
        <f t="shared" ca="1" si="168"/>
        <v>1Q2026</v>
      </c>
      <c r="D1546" vm="3060">
        <f ca="1"/>
        <v>46190</v>
      </c>
      <c r="E1546" vm="3061">
        <f ca="1"/>
        <v>204.65</v>
      </c>
      <c r="F1546" s="3">
        <f t="shared" ca="1" si="169"/>
        <v>2.4079686209744011</v>
      </c>
      <c r="G1546" s="3">
        <f t="shared" ca="1" si="170"/>
        <v>8.0706028075970266</v>
      </c>
      <c r="H1546" s="3">
        <f t="shared" ca="1" si="171"/>
        <v>3.369735755573906</v>
      </c>
      <c r="I1546" s="3">
        <f t="shared" ca="1" si="172"/>
        <v>21.247162257162945</v>
      </c>
      <c r="J1546" s="3">
        <f t="shared" ca="1" si="173"/>
        <v>6.3393653757609867</v>
      </c>
      <c r="K1546" s="3">
        <f t="shared" ca="1" si="174"/>
        <v>15.182941248544997</v>
      </c>
    </row>
    <row r="1547" spans="3:11" x14ac:dyDescent="0.35">
      <c r="C1547" t="str">
        <f t="shared" ca="1" si="168"/>
        <v>1Q2026</v>
      </c>
      <c r="D1547" vm="3062">
        <f ca="1"/>
        <v>46191</v>
      </c>
      <c r="E1547" vm="3063">
        <f ca="1"/>
        <v>210.69</v>
      </c>
      <c r="F1547" s="3">
        <f t="shared" ca="1" si="169"/>
        <v>2.4079686209744011</v>
      </c>
      <c r="G1547" s="3">
        <f t="shared" ca="1" si="170"/>
        <v>8.0706028075970266</v>
      </c>
      <c r="H1547" s="3">
        <f t="shared" ca="1" si="171"/>
        <v>3.369735755573906</v>
      </c>
      <c r="I1547" s="3">
        <f t="shared" ca="1" si="172"/>
        <v>21.87424684076062</v>
      </c>
      <c r="J1547" s="3">
        <f t="shared" ca="1" si="173"/>
        <v>6.5264641632987166</v>
      </c>
      <c r="K1547" s="3">
        <f t="shared" ca="1" si="174"/>
        <v>15.631047601543832</v>
      </c>
    </row>
    <row r="1548" spans="3:11" x14ac:dyDescent="0.35">
      <c r="C1548" t="str">
        <f t="shared" ca="1" si="168"/>
        <v>1Q2026</v>
      </c>
      <c r="D1548" vm="3064">
        <f ca="1"/>
        <v>46195</v>
      </c>
      <c r="E1548" vm="3065">
        <f ca="1"/>
        <v>208.65</v>
      </c>
      <c r="F1548" s="3">
        <f t="shared" ca="1" si="169"/>
        <v>2.4079686209744011</v>
      </c>
      <c r="G1548" s="3">
        <f t="shared" ca="1" si="170"/>
        <v>8.0706028075970266</v>
      </c>
      <c r="H1548" s="3">
        <f t="shared" ca="1" si="171"/>
        <v>3.369735755573906</v>
      </c>
      <c r="I1548" s="3">
        <f t="shared" ca="1" si="172"/>
        <v>21.662450060870015</v>
      </c>
      <c r="J1548" s="3">
        <f t="shared" ca="1" si="173"/>
        <v>6.4632718575740533</v>
      </c>
      <c r="K1548" s="3">
        <f t="shared" ca="1" si="174"/>
        <v>15.479700422716412</v>
      </c>
    </row>
    <row r="1549" spans="3:11" x14ac:dyDescent="0.35">
      <c r="C1549" t="str">
        <f t="shared" ca="1" si="168"/>
        <v>1Q2026</v>
      </c>
      <c r="D1549" vm="3066">
        <f ca="1"/>
        <v>46196</v>
      </c>
      <c r="E1549" vm="3067">
        <f ca="1"/>
        <v>200.04</v>
      </c>
      <c r="F1549" s="3">
        <f t="shared" ca="1" si="169"/>
        <v>2.4079686209744011</v>
      </c>
      <c r="G1549" s="3">
        <f t="shared" ca="1" si="170"/>
        <v>8.0706028075970266</v>
      </c>
      <c r="H1549" s="3">
        <f t="shared" ca="1" si="171"/>
        <v>3.369735755573906</v>
      </c>
      <c r="I1549" s="3">
        <f t="shared" ca="1" si="172"/>
        <v>20.768543063390545</v>
      </c>
      <c r="J1549" s="3">
        <f t="shared" ca="1" si="173"/>
        <v>6.196563155471428</v>
      </c>
      <c r="K1549" s="3">
        <f t="shared" ca="1" si="174"/>
        <v>14.840926300312441</v>
      </c>
    </row>
    <row r="1550" spans="3:11" x14ac:dyDescent="0.35">
      <c r="C1550" t="str">
        <f t="shared" ca="1" si="168"/>
        <v>1Q2026</v>
      </c>
      <c r="D1550" vm="3068">
        <f ca="1"/>
        <v>46197</v>
      </c>
      <c r="E1550" vm="3069">
        <f ca="1"/>
        <v>199</v>
      </c>
      <c r="F1550" s="3">
        <f t="shared" ca="1" si="169"/>
        <v>2.4079686209744011</v>
      </c>
      <c r="G1550" s="3">
        <f t="shared" ca="1" si="170"/>
        <v>8.0706028075970266</v>
      </c>
      <c r="H1550" s="3">
        <f t="shared" ca="1" si="171"/>
        <v>3.369735755573906</v>
      </c>
      <c r="I1550" s="3">
        <f t="shared" ca="1" si="172"/>
        <v>20.660568234426709</v>
      </c>
      <c r="J1550" s="3">
        <f t="shared" ca="1" si="173"/>
        <v>6.1643474702000312</v>
      </c>
      <c r="K1550" s="3">
        <f t="shared" ca="1" si="174"/>
        <v>14.763768915027875</v>
      </c>
    </row>
    <row r="1551" spans="3:11" x14ac:dyDescent="0.35">
      <c r="C1551" t="str">
        <f t="shared" ca="1" si="168"/>
        <v>1Q2026</v>
      </c>
      <c r="D1551" vm="3070">
        <f ca="1"/>
        <v>46198</v>
      </c>
      <c r="E1551" vm="3071">
        <f ca="1"/>
        <v>195.74</v>
      </c>
      <c r="F1551" s="3">
        <f t="shared" ca="1" si="169"/>
        <v>2.4079686209744011</v>
      </c>
      <c r="G1551" s="3">
        <f t="shared" ca="1" si="170"/>
        <v>8.0706028075970266</v>
      </c>
      <c r="H1551" s="3">
        <f t="shared" ca="1" si="171"/>
        <v>3.369735755573906</v>
      </c>
      <c r="I1551" s="3">
        <f t="shared" ca="1" si="172"/>
        <v>20.322108674405449</v>
      </c>
      <c r="J1551" s="3">
        <f t="shared" ca="1" si="173"/>
        <v>6.0633636875223829</v>
      </c>
      <c r="K1551" s="3">
        <f t="shared" ca="1" si="174"/>
        <v>14.521910188078172</v>
      </c>
    </row>
    <row r="1552" spans="3:11" x14ac:dyDescent="0.35">
      <c r="C1552" t="str">
        <f t="shared" ca="1" si="168"/>
        <v>1Q2026</v>
      </c>
      <c r="D1552" vm="3072">
        <f ca="1"/>
        <v>46199</v>
      </c>
      <c r="E1552" vm="3073">
        <f ca="1"/>
        <v>192.53</v>
      </c>
      <c r="F1552" s="3">
        <f t="shared" ca="1" si="169"/>
        <v>2.4079686209744011</v>
      </c>
      <c r="G1552" s="3">
        <f t="shared" ca="1" si="170"/>
        <v>8.0706028075970266</v>
      </c>
      <c r="H1552" s="3">
        <f t="shared" ca="1" si="171"/>
        <v>3.369735755573906</v>
      </c>
      <c r="I1552" s="3">
        <f t="shared" ca="1" si="172"/>
        <v>19.988840211930523</v>
      </c>
      <c r="J1552" s="3">
        <f t="shared" ca="1" si="173"/>
        <v>5.9639287358673974</v>
      </c>
      <c r="K1552" s="3">
        <f t="shared" ca="1" si="174"/>
        <v>14.283760950805611</v>
      </c>
    </row>
    <row r="1553" spans="3:11" x14ac:dyDescent="0.35">
      <c r="C1553" t="str">
        <f t="shared" ca="1" si="168"/>
        <v>1Q2026</v>
      </c>
      <c r="D1553" vm="3074">
        <f ca="1"/>
        <v>46202</v>
      </c>
      <c r="E1553" vm="3075">
        <f ca="1"/>
        <v>194.97</v>
      </c>
      <c r="F1553" s="3">
        <f t="shared" ca="1" si="169"/>
        <v>2.4079686209744011</v>
      </c>
      <c r="G1553" s="3">
        <f t="shared" ca="1" si="170"/>
        <v>8.0706028075970266</v>
      </c>
      <c r="H1553" s="3">
        <f t="shared" ca="1" si="171"/>
        <v>3.369735755573906</v>
      </c>
      <c r="I1553" s="3">
        <f t="shared" ca="1" si="172"/>
        <v>20.242165772191836</v>
      </c>
      <c r="J1553" s="3">
        <f t="shared" ca="1" si="173"/>
        <v>6.0395116897733674</v>
      </c>
      <c r="K1553" s="3">
        <f t="shared" ca="1" si="174"/>
        <v>14.464784047050173</v>
      </c>
    </row>
    <row r="1554" spans="3:11" x14ac:dyDescent="0.35">
      <c r="C1554" t="str">
        <f t="shared" ca="1" si="168"/>
        <v>1Q2026</v>
      </c>
      <c r="D1554" vm="3076">
        <f ca="1"/>
        <v>46203</v>
      </c>
      <c r="E1554" vm="3077">
        <f ca="1"/>
        <v>200.09</v>
      </c>
      <c r="F1554" s="3">
        <f t="shared" ca="1" si="169"/>
        <v>2.4079686209744011</v>
      </c>
      <c r="G1554" s="3">
        <f t="shared" ca="1" si="170"/>
        <v>8.0706028075970266</v>
      </c>
      <c r="H1554" s="3">
        <f t="shared" ca="1" si="171"/>
        <v>3.369735755573906</v>
      </c>
      <c r="I1554" s="3">
        <f t="shared" ca="1" si="172"/>
        <v>20.773734160936886</v>
      </c>
      <c r="J1554" s="3">
        <f t="shared" ca="1" si="173"/>
        <v>6.1981119864940917</v>
      </c>
      <c r="K1554" s="3">
        <f t="shared" ca="1" si="174"/>
        <v>14.844635789989585</v>
      </c>
    </row>
    <row r="1555" spans="3:11" x14ac:dyDescent="0.35">
      <c r="C1555" t="str">
        <f t="shared" ca="1" si="168"/>
        <v>1Q2026</v>
      </c>
      <c r="D1555" vm="3078">
        <f ca="1"/>
        <v>46204</v>
      </c>
      <c r="E1555" vm="3079">
        <f ca="1"/>
        <v>197.58</v>
      </c>
      <c r="F1555" s="3">
        <f t="shared" ca="1" si="169"/>
        <v>2.4079686209744011</v>
      </c>
      <c r="G1555" s="3">
        <f t="shared" ca="1" si="170"/>
        <v>8.0706028075970266</v>
      </c>
      <c r="H1555" s="3">
        <f t="shared" ca="1" si="171"/>
        <v>3.369735755573906</v>
      </c>
      <c r="I1555" s="3">
        <f t="shared" ca="1" si="172"/>
        <v>20.513141064110702</v>
      </c>
      <c r="J1555" s="3">
        <f t="shared" ca="1" si="173"/>
        <v>6.1203606691563932</v>
      </c>
      <c r="K1555" s="3">
        <f t="shared" ca="1" si="174"/>
        <v>14.658419408197023</v>
      </c>
    </row>
    <row r="1556" spans="3:11" x14ac:dyDescent="0.35">
      <c r="C1556" t="str">
        <f t="shared" ca="1" si="168"/>
        <v>1Q2026</v>
      </c>
      <c r="D1556" vm="3080">
        <f ca="1"/>
        <v>46205</v>
      </c>
      <c r="E1556" vm="3081">
        <f ca="1"/>
        <v>194.83</v>
      </c>
      <c r="F1556" s="3">
        <f t="shared" ca="1" si="169"/>
        <v>2.4079686209744011</v>
      </c>
      <c r="G1556" s="3">
        <f t="shared" ca="1" si="170"/>
        <v>8.0706028075970266</v>
      </c>
      <c r="H1556" s="3">
        <f t="shared" ca="1" si="171"/>
        <v>3.369735755573906</v>
      </c>
      <c r="I1556" s="3">
        <f t="shared" ca="1" si="172"/>
        <v>20.22763069906209</v>
      </c>
      <c r="J1556" s="3">
        <f t="shared" ca="1" si="173"/>
        <v>6.0351749629099105</v>
      </c>
      <c r="K1556" s="3">
        <f t="shared" ca="1" si="174"/>
        <v>14.454397475954176</v>
      </c>
    </row>
    <row r="1557" spans="3:11" x14ac:dyDescent="0.35">
      <c r="C1557" t="str">
        <f t="shared" ca="1" si="168"/>
        <v>1Q2026</v>
      </c>
      <c r="D1557" vm="3082">
        <f ca="1"/>
        <v>46209</v>
      </c>
      <c r="E1557" vm="3083">
        <f ca="1"/>
        <v>195.55</v>
      </c>
      <c r="F1557" s="3">
        <f t="shared" ca="1" si="169"/>
        <v>2.4079686209744011</v>
      </c>
      <c r="G1557" s="3">
        <f t="shared" ca="1" si="170"/>
        <v>8.0706028075970266</v>
      </c>
      <c r="H1557" s="3">
        <f t="shared" ca="1" si="171"/>
        <v>3.369735755573906</v>
      </c>
      <c r="I1557" s="3">
        <f t="shared" ca="1" si="172"/>
        <v>20.302382503729362</v>
      </c>
      <c r="J1557" s="3">
        <f t="shared" ca="1" si="173"/>
        <v>6.0574781296362623</v>
      </c>
      <c r="K1557" s="3">
        <f t="shared" ca="1" si="174"/>
        <v>14.50781412730503</v>
      </c>
    </row>
    <row r="1558" spans="3:11" x14ac:dyDescent="0.35">
      <c r="C1558" t="str">
        <f t="shared" ca="1" si="168"/>
        <v>1Q2026</v>
      </c>
      <c r="D1558" vm="3084">
        <f ca="1"/>
        <v>46210</v>
      </c>
      <c r="E1558" vm="3085">
        <f ca="1"/>
        <v>196.93</v>
      </c>
      <c r="F1558" s="3">
        <f t="shared" ca="1" si="169"/>
        <v>2.4079686209744011</v>
      </c>
      <c r="G1558" s="3">
        <f t="shared" ca="1" si="170"/>
        <v>8.0706028075970266</v>
      </c>
      <c r="H1558" s="3">
        <f t="shared" ca="1" si="171"/>
        <v>3.369735755573906</v>
      </c>
      <c r="I1558" s="3">
        <f t="shared" ca="1" si="172"/>
        <v>20.445656796008301</v>
      </c>
      <c r="J1558" s="3">
        <f t="shared" ca="1" si="173"/>
        <v>6.1002258658617698</v>
      </c>
      <c r="K1558" s="3">
        <f t="shared" ca="1" si="174"/>
        <v>14.610196042394168</v>
      </c>
    </row>
    <row r="1559" spans="3:11" x14ac:dyDescent="0.35">
      <c r="C1559" t="str">
        <f t="shared" ca="1" si="168"/>
        <v>1Q2026</v>
      </c>
      <c r="D1559" vm="3086">
        <f ca="1"/>
        <v>46211</v>
      </c>
      <c r="E1559" vm="3087">
        <f ca="1"/>
        <v>204.12</v>
      </c>
      <c r="F1559" s="3">
        <f t="shared" ca="1" si="169"/>
        <v>2.4079686209744011</v>
      </c>
      <c r="G1559" s="3">
        <f t="shared" ca="1" si="170"/>
        <v>8.0706028075970266</v>
      </c>
      <c r="H1559" s="3">
        <f t="shared" ca="1" si="171"/>
        <v>3.369735755573906</v>
      </c>
      <c r="I1559" s="3">
        <f t="shared" ca="1" si="172"/>
        <v>21.192136623171759</v>
      </c>
      <c r="J1559" s="3">
        <f t="shared" ca="1" si="173"/>
        <v>6.3229477669207554</v>
      </c>
      <c r="K1559" s="3">
        <f t="shared" ca="1" si="174"/>
        <v>15.143620657967285</v>
      </c>
    </row>
    <row r="1560" spans="3:11" x14ac:dyDescent="0.35">
      <c r="C1560" t="str">
        <f t="shared" ca="1" si="168"/>
        <v>1Q2026</v>
      </c>
      <c r="D1560" vm="3088">
        <f ca="1"/>
        <v>46212</v>
      </c>
      <c r="E1560" vm="3089">
        <f ca="1"/>
        <v>202.78</v>
      </c>
      <c r="F1560" s="3">
        <f t="shared" ca="1" si="169"/>
        <v>2.4079686209744011</v>
      </c>
      <c r="G1560" s="3">
        <f t="shared" ca="1" si="170"/>
        <v>8.0706028075970266</v>
      </c>
      <c r="H1560" s="3">
        <f t="shared" ca="1" si="171"/>
        <v>3.369735755573906</v>
      </c>
      <c r="I1560" s="3">
        <f t="shared" ca="1" si="172"/>
        <v>21.053015208929889</v>
      </c>
      <c r="J1560" s="3">
        <f t="shared" ca="1" si="173"/>
        <v>6.2814390955133783</v>
      </c>
      <c r="K1560" s="3">
        <f t="shared" ca="1" si="174"/>
        <v>15.044206334619862</v>
      </c>
    </row>
    <row r="1561" spans="3:11" x14ac:dyDescent="0.35">
      <c r="C1561" t="str">
        <f t="shared" ca="1" si="168"/>
        <v>1Q2026</v>
      </c>
      <c r="D1561" vm="3090">
        <f ca="1"/>
        <v>46213</v>
      </c>
      <c r="E1561" vm="3091">
        <f ca="1"/>
        <v>210.96</v>
      </c>
      <c r="F1561" s="3">
        <f t="shared" ca="1" si="169"/>
        <v>2.4079686209744011</v>
      </c>
      <c r="G1561" s="3">
        <f t="shared" ca="1" si="170"/>
        <v>8.0706028075970266</v>
      </c>
      <c r="H1561" s="3">
        <f t="shared" ca="1" si="171"/>
        <v>3.369735755573906</v>
      </c>
      <c r="I1561" s="3">
        <f t="shared" ca="1" si="172"/>
        <v>21.902278767510847</v>
      </c>
      <c r="J1561" s="3">
        <f t="shared" ca="1" si="173"/>
        <v>6.5348278508210988</v>
      </c>
      <c r="K1561" s="3">
        <f t="shared" ca="1" si="174"/>
        <v>15.651078845800404</v>
      </c>
    </row>
    <row r="1562" spans="3:11" x14ac:dyDescent="0.35">
      <c r="C1562" t="str">
        <f t="shared" ca="1" si="168"/>
        <v>1Q2026</v>
      </c>
      <c r="D1562" vm="3092">
        <f ca="1"/>
        <v>46216</v>
      </c>
      <c r="E1562" vm="3093">
        <f ca="1"/>
        <v>203.53</v>
      </c>
      <c r="F1562" s="3">
        <f t="shared" ca="1" si="169"/>
        <v>2.4079686209744011</v>
      </c>
      <c r="G1562" s="3">
        <f t="shared" ca="1" si="170"/>
        <v>8.0706028075970266</v>
      </c>
      <c r="H1562" s="3">
        <f t="shared" ca="1" si="171"/>
        <v>3.369735755573906</v>
      </c>
      <c r="I1562" s="3">
        <f t="shared" ca="1" si="172"/>
        <v>21.130881672124964</v>
      </c>
      <c r="J1562" s="3">
        <f t="shared" ca="1" si="173"/>
        <v>6.3046715608533281</v>
      </c>
      <c r="K1562" s="3">
        <f t="shared" ca="1" si="174"/>
        <v>15.099848679777001</v>
      </c>
    </row>
    <row r="1563" spans="3:11" x14ac:dyDescent="0.35">
      <c r="C1563" t="str">
        <f t="shared" ca="1" si="168"/>
        <v>1Q2026</v>
      </c>
      <c r="D1563" vm="3094">
        <f ca="1"/>
        <v>46217</v>
      </c>
      <c r="E1563" vm="3095">
        <f ca="1"/>
        <v>211.8</v>
      </c>
      <c r="F1563" s="3">
        <f t="shared" ca="1" si="169"/>
        <v>2.4079686209744011</v>
      </c>
      <c r="G1563" s="3">
        <f t="shared" ca="1" si="170"/>
        <v>8.0706028075970266</v>
      </c>
      <c r="H1563" s="3">
        <f t="shared" ca="1" si="171"/>
        <v>3.369735755573906</v>
      </c>
      <c r="I1563" s="3">
        <f t="shared" ca="1" si="172"/>
        <v>21.989489206289331</v>
      </c>
      <c r="J1563" s="3">
        <f t="shared" ca="1" si="173"/>
        <v>6.5608482120018428</v>
      </c>
      <c r="K1563" s="3">
        <f t="shared" ca="1" si="174"/>
        <v>15.713398272376402</v>
      </c>
    </row>
    <row r="1564" spans="3:11" x14ac:dyDescent="0.35">
      <c r="C1564" t="str">
        <f t="shared" ca="1" si="168"/>
        <v>1Q2026</v>
      </c>
      <c r="D1564" vm="3096">
        <f ca="1"/>
        <v>46218</v>
      </c>
      <c r="E1564" vm="3097">
        <f ca="1"/>
        <v>212.5</v>
      </c>
      <c r="F1564" s="3">
        <f t="shared" ca="1" si="169"/>
        <v>2.4079686209744011</v>
      </c>
      <c r="G1564" s="3">
        <f t="shared" ca="1" si="170"/>
        <v>8.0706028075970266</v>
      </c>
      <c r="H1564" s="3">
        <f t="shared" ca="1" si="171"/>
        <v>3.369735755573906</v>
      </c>
      <c r="I1564" s="3">
        <f t="shared" ca="1" si="172"/>
        <v>22.062164571938069</v>
      </c>
      <c r="J1564" s="3">
        <f t="shared" ca="1" si="173"/>
        <v>6.5825318463191289</v>
      </c>
      <c r="K1564" s="3">
        <f t="shared" ca="1" si="174"/>
        <v>15.765331127856399</v>
      </c>
    </row>
    <row r="1565" spans="3:11" x14ac:dyDescent="0.35">
      <c r="C1565" t="str">
        <f t="shared" ca="1" si="168"/>
        <v>1Q2026</v>
      </c>
      <c r="D1565" vm="3098">
        <f ca="1"/>
        <v>46219</v>
      </c>
      <c r="E1565" vm="3099">
        <f ca="1"/>
        <v>207.4</v>
      </c>
      <c r="F1565" s="3">
        <f t="shared" ca="1" si="169"/>
        <v>2.4079686209744011</v>
      </c>
      <c r="G1565" s="3">
        <f t="shared" ca="1" si="170"/>
        <v>8.0706028075970266</v>
      </c>
      <c r="H1565" s="3">
        <f t="shared" ca="1" si="171"/>
        <v>3.369735755573906</v>
      </c>
      <c r="I1565" s="3">
        <f t="shared" ca="1" si="172"/>
        <v>21.532672622211557</v>
      </c>
      <c r="J1565" s="3">
        <f t="shared" ca="1" si="173"/>
        <v>6.4245510820074703</v>
      </c>
      <c r="K1565" s="3">
        <f t="shared" ca="1" si="174"/>
        <v>15.386963180787845</v>
      </c>
    </row>
    <row r="1566" spans="3:11" x14ac:dyDescent="0.35">
      <c r="C1566" t="str">
        <f t="shared" ca="1" si="168"/>
        <v>1Q2026</v>
      </c>
      <c r="D1566" vm="3100">
        <f ca="1"/>
        <v>46220</v>
      </c>
      <c r="E1566" vm="3101">
        <f ca="1"/>
        <v>202.81</v>
      </c>
      <c r="F1566" s="3">
        <f t="shared" ca="1" si="169"/>
        <v>2.4079686209744011</v>
      </c>
      <c r="G1566" s="3">
        <f t="shared" ca="1" si="170"/>
        <v>8.0706028075970266</v>
      </c>
      <c r="H1566" s="3">
        <f t="shared" ca="1" si="171"/>
        <v>3.369735755573906</v>
      </c>
      <c r="I1566" s="3">
        <f t="shared" ca="1" si="172"/>
        <v>21.056129867457692</v>
      </c>
      <c r="J1566" s="3">
        <f t="shared" ca="1" si="173"/>
        <v>6.2823683941269763</v>
      </c>
      <c r="K1566" s="3">
        <f t="shared" ca="1" si="174"/>
        <v>15.046432028426146</v>
      </c>
    </row>
    <row r="1567" spans="3:11" x14ac:dyDescent="0.35">
      <c r="C1567" t="str">
        <f t="shared" ca="1" si="168"/>
        <v>1Q2026</v>
      </c>
      <c r="D1567" vm="3102">
        <f ca="1"/>
        <v>46223</v>
      </c>
      <c r="E1567" vm="3103">
        <f ca="1"/>
        <v>203.28</v>
      </c>
      <c r="F1567" s="3">
        <f t="shared" ca="1" si="169"/>
        <v>2.4079686209744011</v>
      </c>
      <c r="G1567" s="3">
        <f t="shared" ca="1" si="170"/>
        <v>8.0706028075970266</v>
      </c>
      <c r="H1567" s="3">
        <f t="shared" ca="1" si="171"/>
        <v>3.369735755573906</v>
      </c>
      <c r="I1567" s="3">
        <f t="shared" ca="1" si="172"/>
        <v>21.104926184393275</v>
      </c>
      <c r="J1567" s="3">
        <f t="shared" ca="1" si="173"/>
        <v>6.2969274057400115</v>
      </c>
      <c r="K1567" s="3">
        <f t="shared" ca="1" si="174"/>
        <v>15.081301231391288</v>
      </c>
    </row>
    <row r="1568" spans="3:11" x14ac:dyDescent="0.35">
      <c r="C1568" t="str">
        <f t="shared" ca="1" si="168"/>
        <v>1Q2026</v>
      </c>
      <c r="D1568" vm="3104">
        <f ca="1"/>
        <v>46224</v>
      </c>
      <c r="E1568" vm="3105">
        <f ca="1"/>
        <v>207.29</v>
      </c>
      <c r="F1568" s="3">
        <f t="shared" ca="1" si="169"/>
        <v>2.4079686209744011</v>
      </c>
      <c r="G1568" s="3">
        <f t="shared" ca="1" si="170"/>
        <v>8.0706028075970266</v>
      </c>
      <c r="H1568" s="3">
        <f t="shared" ca="1" si="171"/>
        <v>3.369735755573906</v>
      </c>
      <c r="I1568" s="3">
        <f t="shared" ca="1" si="172"/>
        <v>21.52125220760961</v>
      </c>
      <c r="J1568" s="3">
        <f t="shared" ca="1" si="173"/>
        <v>6.4211436537576105</v>
      </c>
      <c r="K1568" s="3">
        <f t="shared" ca="1" si="174"/>
        <v>15.37880230349813</v>
      </c>
    </row>
    <row r="1569" spans="3:11" x14ac:dyDescent="0.35">
      <c r="C1569" t="str">
        <f t="shared" ca="1" si="168"/>
        <v>1Q2026</v>
      </c>
      <c r="D1569" vm="3106">
        <f ca="1"/>
        <v>46225</v>
      </c>
      <c r="E1569" vm="3107">
        <f ca="1"/>
        <v>212.06</v>
      </c>
      <c r="F1569" s="3">
        <f t="shared" ca="1" si="169"/>
        <v>2.4079686209744011</v>
      </c>
      <c r="G1569" s="3">
        <f t="shared" ca="1" si="170"/>
        <v>8.0706028075970266</v>
      </c>
      <c r="H1569" s="3">
        <f t="shared" ca="1" si="171"/>
        <v>3.369735755573906</v>
      </c>
      <c r="I1569" s="3">
        <f t="shared" ca="1" si="172"/>
        <v>22.016482913530293</v>
      </c>
      <c r="J1569" s="3">
        <f t="shared" ca="1" si="173"/>
        <v>6.5689021333196917</v>
      </c>
      <c r="K1569" s="3">
        <f t="shared" ca="1" si="174"/>
        <v>15.732687618697543</v>
      </c>
    </row>
    <row r="1570" spans="3:11" x14ac:dyDescent="0.35">
      <c r="C1570" t="str">
        <f t="shared" ca="1" si="168"/>
        <v>1Q2026</v>
      </c>
      <c r="D1570" vm="3108">
        <f ca="1"/>
        <v>46226</v>
      </c>
      <c r="E1570" vm="3109">
        <f ca="1"/>
        <v>208.76</v>
      </c>
      <c r="F1570" s="3">
        <f t="shared" ca="1" si="169"/>
        <v>2.4079686209744011</v>
      </c>
      <c r="G1570" s="3">
        <f t="shared" ca="1" si="170"/>
        <v>8.0706028075970266</v>
      </c>
      <c r="H1570" s="3">
        <f t="shared" ca="1" si="171"/>
        <v>3.369735755573906</v>
      </c>
      <c r="I1570" s="3">
        <f t="shared" ca="1" si="172"/>
        <v>21.673870475471958</v>
      </c>
      <c r="J1570" s="3">
        <f t="shared" ca="1" si="173"/>
        <v>6.4666792858239122</v>
      </c>
      <c r="K1570" s="3">
        <f t="shared" ca="1" si="174"/>
        <v>15.487861300006125</v>
      </c>
    </row>
    <row r="1571" spans="3:11" x14ac:dyDescent="0.35">
      <c r="C1571" t="str">
        <f t="shared" ca="1" si="168"/>
        <v>1Q2026</v>
      </c>
      <c r="D1571" vm="3110">
        <f ca="1"/>
        <v>46227</v>
      </c>
      <c r="E1571" vm="3111">
        <f ca="1"/>
        <v>206.84</v>
      </c>
      <c r="F1571" s="3">
        <f t="shared" ca="1" si="169"/>
        <v>2.4079686209744011</v>
      </c>
      <c r="G1571" s="3">
        <f t="shared" ca="1" si="170"/>
        <v>8.0706028075970266</v>
      </c>
      <c r="H1571" s="3">
        <f t="shared" ca="1" si="171"/>
        <v>3.369735755573906</v>
      </c>
      <c r="I1571" s="3">
        <f t="shared" ca="1" si="172"/>
        <v>21.474532329692565</v>
      </c>
      <c r="J1571" s="3">
        <f t="shared" ca="1" si="173"/>
        <v>6.4072041745536401</v>
      </c>
      <c r="K1571" s="3">
        <f t="shared" ca="1" si="174"/>
        <v>15.345416896403847</v>
      </c>
    </row>
    <row r="1572" spans="3:11" x14ac:dyDescent="0.35">
      <c r="C1572" t="str">
        <f t="shared" ca="1" si="168"/>
        <v>2Q2026</v>
      </c>
      <c r="D1572" vm="3112">
        <f ca="1"/>
        <v>46230</v>
      </c>
      <c r="E1572" vm="2971">
        <f ca="1"/>
        <v>196.51</v>
      </c>
      <c r="F1572" s="3">
        <f t="shared" ca="1" si="169"/>
        <v>2.4715527950310561</v>
      </c>
      <c r="G1572" s="3">
        <f t="shared" ca="1" si="170"/>
        <v>9.4815734989648028</v>
      </c>
      <c r="H1572" s="3">
        <f t="shared" ca="1" si="171"/>
        <v>3.9843064182194619</v>
      </c>
      <c r="I1572" s="3">
        <f t="shared" ca="1" si="172"/>
        <v>19.877180086449535</v>
      </c>
      <c r="J1572" s="3">
        <f t="shared" ca="1" si="173"/>
        <v>5.1813657306314962</v>
      </c>
      <c r="K1572" s="3">
        <f t="shared" ca="1" si="174"/>
        <v>12.330251452385653</v>
      </c>
    </row>
    <row r="1573" spans="3:11" x14ac:dyDescent="0.35">
      <c r="C1573" t="str">
        <f t="shared" ca="1" si="168"/>
        <v>2Q2026</v>
      </c>
      <c r="D1573" vm="3113">
        <f ca="1"/>
        <v>46231</v>
      </c>
      <c r="E1573" vm="3114">
        <f ca="1"/>
        <v>197.01</v>
      </c>
      <c r="F1573" s="3">
        <f t="shared" ca="1" si="169"/>
        <v>2.4715527950310561</v>
      </c>
      <c r="G1573" s="3">
        <f t="shared" ca="1" si="170"/>
        <v>9.4815734989648028</v>
      </c>
      <c r="H1573" s="3">
        <f t="shared" ca="1" si="171"/>
        <v>3.9843064182194619</v>
      </c>
      <c r="I1573" s="3">
        <f t="shared" ca="1" si="172"/>
        <v>19.927755579010853</v>
      </c>
      <c r="J1573" s="3">
        <f t="shared" ca="1" si="173"/>
        <v>5.1945491964363697</v>
      </c>
      <c r="K1573" s="3">
        <f t="shared" ca="1" si="174"/>
        <v>12.361624541420271</v>
      </c>
    </row>
    <row r="1574" spans="3:11" x14ac:dyDescent="0.35">
      <c r="C1574" t="str">
        <f t="shared" ca="1" si="168"/>
        <v>2Q2026</v>
      </c>
      <c r="D1574" vm="3115">
        <f ca="1"/>
        <v>46232</v>
      </c>
      <c r="E1574" vm="3116">
        <f ca="1"/>
        <v>190.01</v>
      </c>
      <c r="F1574" s="3">
        <f t="shared" ca="1" si="169"/>
        <v>2.4715527950310561</v>
      </c>
      <c r="G1574" s="3">
        <f t="shared" ca="1" si="170"/>
        <v>9.4815734989648028</v>
      </c>
      <c r="H1574" s="3">
        <f t="shared" ca="1" si="171"/>
        <v>3.9843064182194619</v>
      </c>
      <c r="I1574" s="3">
        <f t="shared" ca="1" si="172"/>
        <v>19.219698683152391</v>
      </c>
      <c r="J1574" s="3">
        <f t="shared" ca="1" si="173"/>
        <v>5.0099806751681371</v>
      </c>
      <c r="K1574" s="3">
        <f t="shared" ca="1" si="174"/>
        <v>11.922401294935616</v>
      </c>
    </row>
    <row r="1575" spans="3:11" x14ac:dyDescent="0.35">
      <c r="C1575" t="str">
        <f t="shared" ca="1" si="168"/>
        <v>2Q2026</v>
      </c>
      <c r="D1575" vm="3117">
        <f ca="1"/>
        <v>46233</v>
      </c>
      <c r="E1575" vm="3118">
        <f ca="1"/>
        <v>195.04</v>
      </c>
      <c r="F1575" s="3">
        <f t="shared" ca="1" si="169"/>
        <v>2.4715527950310561</v>
      </c>
      <c r="G1575" s="3">
        <f t="shared" ca="1" si="170"/>
        <v>9.4815734989648028</v>
      </c>
      <c r="H1575" s="3">
        <f t="shared" ca="1" si="171"/>
        <v>3.9843064182194619</v>
      </c>
      <c r="I1575" s="3">
        <f t="shared" ca="1" si="172"/>
        <v>19.728488138319257</v>
      </c>
      <c r="J1575" s="3">
        <f t="shared" ca="1" si="173"/>
        <v>5.142606341165167</v>
      </c>
      <c r="K1575" s="3">
        <f t="shared" ca="1" si="174"/>
        <v>12.238014570623875</v>
      </c>
    </row>
    <row r="1576" spans="3:11" x14ac:dyDescent="0.35">
      <c r="C1576" t="str">
        <f t="shared" ca="1" si="168"/>
        <v>2Q2026</v>
      </c>
      <c r="D1576" vm="3119">
        <f ca="1"/>
        <v>46234</v>
      </c>
      <c r="E1576" vm="3120">
        <f ca="1"/>
        <v>200.75</v>
      </c>
      <c r="F1576" s="3">
        <f t="shared" ca="1" si="169"/>
        <v>2.4715527950310561</v>
      </c>
      <c r="G1576" s="3">
        <f t="shared" ca="1" si="170"/>
        <v>9.4815734989648028</v>
      </c>
      <c r="H1576" s="3">
        <f t="shared" ca="1" si="171"/>
        <v>3.9843064182194619</v>
      </c>
      <c r="I1576" s="3">
        <f t="shared" ca="1" si="172"/>
        <v>20.30606026336952</v>
      </c>
      <c r="J1576" s="3">
        <f t="shared" ca="1" si="173"/>
        <v>5.2931615206568265</v>
      </c>
      <c r="K1576" s="3">
        <f t="shared" ca="1" si="174"/>
        <v>12.596295247399215</v>
      </c>
    </row>
    <row r="1577" spans="3:11" x14ac:dyDescent="0.35">
      <c r="C1577" t="str">
        <f t="shared" ca="1" si="168"/>
        <v>2Q2026</v>
      </c>
      <c r="D1577" vm="3121">
        <f ca="1"/>
        <v>46237</v>
      </c>
      <c r="E1577" vm="3122">
        <f ca="1"/>
        <v>206.64</v>
      </c>
      <c r="F1577" s="3">
        <f t="shared" ca="1" si="169"/>
        <v>2.4715527950310561</v>
      </c>
      <c r="G1577" s="3">
        <f t="shared" ca="1" si="170"/>
        <v>9.4815734989648028</v>
      </c>
      <c r="H1577" s="3">
        <f t="shared" ca="1" si="171"/>
        <v>3.9843064182194619</v>
      </c>
      <c r="I1577" s="3">
        <f t="shared" ca="1" si="172"/>
        <v>20.901839565741856</v>
      </c>
      <c r="J1577" s="3">
        <f t="shared" ca="1" si="173"/>
        <v>5.4484627478382395</v>
      </c>
      <c r="K1577" s="3">
        <f t="shared" ca="1" si="174"/>
        <v>12.965870236227017</v>
      </c>
    </row>
    <row r="1578" spans="3:11" x14ac:dyDescent="0.35">
      <c r="C1578" t="str">
        <f t="shared" ca="1" si="168"/>
        <v>2Q2026</v>
      </c>
      <c r="D1578" vm="3123">
        <f ca="1"/>
        <v>46238</v>
      </c>
      <c r="E1578" vm="3124">
        <f ca="1"/>
        <v>211.94</v>
      </c>
      <c r="F1578" s="3">
        <f t="shared" ca="1" si="169"/>
        <v>2.4715527950310561</v>
      </c>
      <c r="G1578" s="3">
        <f t="shared" ca="1" si="170"/>
        <v>9.4815734989648028</v>
      </c>
      <c r="H1578" s="3">
        <f t="shared" ca="1" si="171"/>
        <v>3.9843064182194619</v>
      </c>
      <c r="I1578" s="3">
        <f t="shared" ca="1" si="172"/>
        <v>21.437939786891835</v>
      </c>
      <c r="J1578" s="3">
        <f t="shared" ca="1" si="173"/>
        <v>5.5882074853699013</v>
      </c>
      <c r="K1578" s="3">
        <f t="shared" ca="1" si="174"/>
        <v>13.298424979993971</v>
      </c>
    </row>
    <row r="1579" spans="3:11" x14ac:dyDescent="0.35">
      <c r="C1579" t="str">
        <f t="shared" ca="1" si="168"/>
        <v>2Q2026</v>
      </c>
      <c r="D1579" vm="3125">
        <f ca="1"/>
        <v>46239</v>
      </c>
      <c r="E1579" vm="3126">
        <f ca="1"/>
        <v>219.22</v>
      </c>
      <c r="F1579" s="3">
        <f t="shared" ca="1" si="169"/>
        <v>2.4715527950310561</v>
      </c>
      <c r="G1579" s="3">
        <f t="shared" ca="1" si="170"/>
        <v>9.4815734989648028</v>
      </c>
      <c r="H1579" s="3">
        <f t="shared" ca="1" si="171"/>
        <v>3.9843064182194619</v>
      </c>
      <c r="I1579" s="3">
        <f t="shared" ca="1" si="172"/>
        <v>22.174318958584639</v>
      </c>
      <c r="J1579" s="3">
        <f t="shared" ca="1" si="173"/>
        <v>5.7801587474888638</v>
      </c>
      <c r="K1579" s="3">
        <f t="shared" ca="1" si="174"/>
        <v>13.755217156338013</v>
      </c>
    </row>
    <row r="1580" spans="3:11" x14ac:dyDescent="0.35">
      <c r="C1580" t="str">
        <f t="shared" ca="1" si="168"/>
        <v>2Q2026</v>
      </c>
      <c r="D1580" vm="3127">
        <f ca="1"/>
        <v>46240</v>
      </c>
      <c r="E1580" vm="3128">
        <f ca="1"/>
        <v>218.99</v>
      </c>
      <c r="F1580" s="3">
        <f t="shared" ca="1" si="169"/>
        <v>2.4715527950310561</v>
      </c>
      <c r="G1580" s="3">
        <f t="shared" ca="1" si="170"/>
        <v>9.4815734989648028</v>
      </c>
      <c r="H1580" s="3">
        <f t="shared" ca="1" si="171"/>
        <v>3.9843064182194619</v>
      </c>
      <c r="I1580" s="3">
        <f t="shared" ca="1" si="172"/>
        <v>22.151054232006434</v>
      </c>
      <c r="J1580" s="3">
        <f t="shared" ca="1" si="173"/>
        <v>5.7740943532186222</v>
      </c>
      <c r="K1580" s="3">
        <f t="shared" ca="1" si="174"/>
        <v>13.74078553538209</v>
      </c>
    </row>
    <row r="1581" spans="3:11" x14ac:dyDescent="0.35">
      <c r="C1581" t="str">
        <f t="shared" ca="1" si="168"/>
        <v>2Q2026</v>
      </c>
      <c r="D1581" vm="3129">
        <f ca="1"/>
        <v>46241</v>
      </c>
      <c r="E1581" vm="3130">
        <f ca="1"/>
        <v>223.96</v>
      </c>
      <c r="F1581" s="3">
        <f t="shared" ca="1" si="169"/>
        <v>2.4715527950310561</v>
      </c>
      <c r="G1581" s="3">
        <f t="shared" ca="1" si="170"/>
        <v>9.4815734989648028</v>
      </c>
      <c r="H1581" s="3">
        <f t="shared" ca="1" si="171"/>
        <v>3.9843064182194619</v>
      </c>
      <c r="I1581" s="3">
        <f t="shared" ca="1" si="172"/>
        <v>22.653774628065943</v>
      </c>
      <c r="J1581" s="3">
        <f t="shared" ca="1" si="173"/>
        <v>5.9051380033190677</v>
      </c>
      <c r="K1581" s="3">
        <f t="shared" ca="1" si="174"/>
        <v>14.052634040386193</v>
      </c>
    </row>
    <row r="1582" spans="3:11" x14ac:dyDescent="0.35">
      <c r="C1582" t="str">
        <f t="shared" ca="1" si="168"/>
        <v>2Q2026</v>
      </c>
      <c r="D1582" vm="3131">
        <f ca="1"/>
        <v>46244</v>
      </c>
      <c r="E1582" vm="3132">
        <f ca="1"/>
        <v>217.55</v>
      </c>
      <c r="F1582" s="3">
        <f t="shared" ca="1" si="169"/>
        <v>2.4715527950310561</v>
      </c>
      <c r="G1582" s="3">
        <f t="shared" ca="1" si="170"/>
        <v>9.4815734989648028</v>
      </c>
      <c r="H1582" s="3">
        <f t="shared" ca="1" si="171"/>
        <v>3.9843064182194619</v>
      </c>
      <c r="I1582" s="3">
        <f t="shared" ca="1" si="172"/>
        <v>22.005396813429833</v>
      </c>
      <c r="J1582" s="3">
        <f t="shared" ca="1" si="173"/>
        <v>5.7361259717005861</v>
      </c>
      <c r="K1582" s="3">
        <f t="shared" ca="1" si="174"/>
        <v>13.650431038962388</v>
      </c>
    </row>
    <row r="1583" spans="3:11" x14ac:dyDescent="0.35">
      <c r="C1583" t="str">
        <f t="shared" ca="1" si="168"/>
        <v>2Q2026</v>
      </c>
      <c r="D1583" vm="3133">
        <f ca="1"/>
        <v>46245</v>
      </c>
      <c r="E1583" vm="3134">
        <f ca="1"/>
        <v>217.5</v>
      </c>
      <c r="F1583" s="3">
        <f t="shared" ca="1" si="169"/>
        <v>2.4715527950310561</v>
      </c>
      <c r="G1583" s="3">
        <f t="shared" ca="1" si="170"/>
        <v>9.4815734989648028</v>
      </c>
      <c r="H1583" s="3">
        <f t="shared" ca="1" si="171"/>
        <v>3.9843064182194619</v>
      </c>
      <c r="I1583" s="3">
        <f t="shared" ca="1" si="172"/>
        <v>22.0003392641737</v>
      </c>
      <c r="J1583" s="3">
        <f t="shared" ca="1" si="173"/>
        <v>5.7348076251200979</v>
      </c>
      <c r="K1583" s="3">
        <f t="shared" ca="1" si="174"/>
        <v>13.647293730058927</v>
      </c>
    </row>
    <row r="1584" spans="3:11" x14ac:dyDescent="0.35">
      <c r="C1584" t="str">
        <f t="shared" ca="1" si="168"/>
        <v>2Q2026</v>
      </c>
      <c r="D1584" vm="3135">
        <f ca="1"/>
        <v>46246</v>
      </c>
      <c r="E1584" vm="3136">
        <f ca="1"/>
        <v>224.09</v>
      </c>
      <c r="F1584" s="3">
        <f t="shared" ca="1" si="169"/>
        <v>2.4715527950310561</v>
      </c>
      <c r="G1584" s="3">
        <f t="shared" ca="1" si="170"/>
        <v>9.4815734989648028</v>
      </c>
      <c r="H1584" s="3">
        <f t="shared" ca="1" si="171"/>
        <v>3.9843064182194619</v>
      </c>
      <c r="I1584" s="3">
        <f t="shared" ca="1" si="172"/>
        <v>22.666924256131885</v>
      </c>
      <c r="J1584" s="3">
        <f t="shared" ca="1" si="173"/>
        <v>5.9085657044283346</v>
      </c>
      <c r="K1584" s="3">
        <f t="shared" ca="1" si="174"/>
        <v>14.060791043535195</v>
      </c>
    </row>
    <row r="1585" spans="3:11" x14ac:dyDescent="0.35">
      <c r="C1585" t="str">
        <f t="shared" ca="1" si="168"/>
        <v>2Q2026</v>
      </c>
      <c r="D1585" vm="3137">
        <f ca="1"/>
        <v>46247</v>
      </c>
      <c r="E1585" vm="3138">
        <f ca="1"/>
        <v>225.3</v>
      </c>
      <c r="F1585" s="3">
        <f t="shared" ca="1" si="169"/>
        <v>2.4715527950310561</v>
      </c>
      <c r="G1585" s="3">
        <f t="shared" ca="1" si="170"/>
        <v>9.4815734989648028</v>
      </c>
      <c r="H1585" s="3">
        <f t="shared" ca="1" si="171"/>
        <v>3.9843064182194619</v>
      </c>
      <c r="I1585" s="3">
        <f t="shared" ca="1" si="172"/>
        <v>22.789316948130278</v>
      </c>
      <c r="J1585" s="3">
        <f t="shared" ca="1" si="173"/>
        <v>5.9404696916761299</v>
      </c>
      <c r="K1585" s="3">
        <f t="shared" ca="1" si="174"/>
        <v>14.136713918998971</v>
      </c>
    </row>
    <row r="1586" spans="3:11" x14ac:dyDescent="0.35">
      <c r="C1586" t="str">
        <f t="shared" ca="1" si="168"/>
        <v>2Q2026</v>
      </c>
      <c r="D1586" vm="3139">
        <f ca="1"/>
        <v>46248</v>
      </c>
      <c r="E1586" vm="3140">
        <f ca="1"/>
        <v>225.16</v>
      </c>
      <c r="F1586" s="3">
        <f t="shared" ca="1" si="169"/>
        <v>2.4715527950310561</v>
      </c>
      <c r="G1586" s="3">
        <f t="shared" ca="1" si="170"/>
        <v>9.4815734989648028</v>
      </c>
      <c r="H1586" s="3">
        <f t="shared" ca="1" si="171"/>
        <v>3.9843064182194619</v>
      </c>
      <c r="I1586" s="3">
        <f t="shared" ca="1" si="172"/>
        <v>22.775155810213107</v>
      </c>
      <c r="J1586" s="3">
        <f t="shared" ca="1" si="173"/>
        <v>5.9367783212507641</v>
      </c>
      <c r="K1586" s="3">
        <f t="shared" ca="1" si="174"/>
        <v>14.127929454069278</v>
      </c>
    </row>
    <row r="1587" spans="3:11" x14ac:dyDescent="0.35">
      <c r="C1587" t="str">
        <f t="shared" ca="1" si="168"/>
        <v>2Q2026</v>
      </c>
      <c r="D1587" vm="3141">
        <f ca="1"/>
        <v>46251</v>
      </c>
      <c r="E1587" vm="3142">
        <f ca="1"/>
        <v>225.01</v>
      </c>
      <c r="F1587" s="3">
        <f t="shared" ca="1" si="169"/>
        <v>2.4715527950310561</v>
      </c>
      <c r="G1587" s="3">
        <f t="shared" ca="1" si="170"/>
        <v>9.4815734989648028</v>
      </c>
      <c r="H1587" s="3">
        <f t="shared" ca="1" si="171"/>
        <v>3.9843064182194619</v>
      </c>
      <c r="I1587" s="3">
        <f t="shared" ca="1" si="172"/>
        <v>22.759983162444708</v>
      </c>
      <c r="J1587" s="3">
        <f t="shared" ca="1" si="173"/>
        <v>5.932823281509302</v>
      </c>
      <c r="K1587" s="3">
        <f t="shared" ca="1" si="174"/>
        <v>14.118517527358891</v>
      </c>
    </row>
    <row r="1588" spans="3:11" x14ac:dyDescent="0.35">
      <c r="C1588" t="str">
        <f t="shared" ca="1" si="168"/>
        <v>2Q2026</v>
      </c>
      <c r="D1588" vm="3143">
        <f ca="1"/>
        <v>46252</v>
      </c>
      <c r="E1588" vm="3144">
        <f ca="1"/>
        <v>219.74</v>
      </c>
      <c r="F1588" s="3">
        <f t="shared" ca="1" si="169"/>
        <v>2.4715527950310561</v>
      </c>
      <c r="G1588" s="3">
        <f t="shared" ca="1" si="170"/>
        <v>9.4815734989648028</v>
      </c>
      <c r="H1588" s="3">
        <f t="shared" ca="1" si="171"/>
        <v>3.9843064182194619</v>
      </c>
      <c r="I1588" s="3">
        <f t="shared" ca="1" si="172"/>
        <v>22.226917470848409</v>
      </c>
      <c r="J1588" s="3">
        <f t="shared" ca="1" si="173"/>
        <v>5.7938695519259333</v>
      </c>
      <c r="K1588" s="3">
        <f t="shared" ca="1" si="174"/>
        <v>13.787845168934016</v>
      </c>
    </row>
    <row r="1589" spans="3:11" x14ac:dyDescent="0.35">
      <c r="C1589" t="str">
        <f t="shared" ca="1" si="168"/>
        <v>2Q2026</v>
      </c>
      <c r="D1589" vm="3145">
        <f ca="1"/>
        <v>46253</v>
      </c>
      <c r="E1589" vm="3146">
        <f ca="1"/>
        <v>217.56</v>
      </c>
      <c r="F1589" s="3">
        <f t="shared" ca="1" si="169"/>
        <v>2.4715527950310561</v>
      </c>
      <c r="G1589" s="3">
        <f t="shared" ca="1" si="170"/>
        <v>9.4815734989648028</v>
      </c>
      <c r="H1589" s="3">
        <f t="shared" ca="1" si="171"/>
        <v>3.9843064182194619</v>
      </c>
      <c r="I1589" s="3">
        <f t="shared" ca="1" si="172"/>
        <v>22.006408323281061</v>
      </c>
      <c r="J1589" s="3">
        <f t="shared" ca="1" si="173"/>
        <v>5.7363896410166832</v>
      </c>
      <c r="K1589" s="3">
        <f t="shared" ca="1" si="174"/>
        <v>13.65105850074308</v>
      </c>
    </row>
    <row r="1590" spans="3:11" x14ac:dyDescent="0.35">
      <c r="C1590" t="str">
        <f t="shared" ca="1" si="168"/>
        <v>2Q2026</v>
      </c>
      <c r="D1590" vm="3147">
        <f ca="1"/>
        <v>46254</v>
      </c>
      <c r="E1590" vm="3148">
        <f ca="1"/>
        <v>216.85</v>
      </c>
      <c r="F1590" s="3">
        <f t="shared" ca="1" si="169"/>
        <v>2.4715527950310561</v>
      </c>
      <c r="G1590" s="3">
        <f t="shared" ca="1" si="170"/>
        <v>9.4815734989648028</v>
      </c>
      <c r="H1590" s="3">
        <f t="shared" ca="1" si="171"/>
        <v>3.9843064182194619</v>
      </c>
      <c r="I1590" s="3">
        <f t="shared" ca="1" si="172"/>
        <v>21.934591123843987</v>
      </c>
      <c r="J1590" s="3">
        <f t="shared" ca="1" si="173"/>
        <v>5.7176691195737623</v>
      </c>
      <c r="K1590" s="3">
        <f t="shared" ca="1" si="174"/>
        <v>13.606508714313922</v>
      </c>
    </row>
    <row r="1591" spans="3:11" x14ac:dyDescent="0.35">
      <c r="C1591" t="str">
        <f t="shared" ca="1" si="168"/>
        <v>2Q2026</v>
      </c>
      <c r="D1591" vm="3149">
        <f ca="1"/>
        <v>46255</v>
      </c>
      <c r="E1591" vm="3150">
        <f ca="1"/>
        <v>214.72</v>
      </c>
      <c r="F1591" s="3">
        <f t="shared" ca="1" si="169"/>
        <v>2.4715527950310561</v>
      </c>
      <c r="G1591" s="3">
        <f t="shared" ca="1" si="170"/>
        <v>9.4815734989648028</v>
      </c>
      <c r="H1591" s="3">
        <f t="shared" ca="1" si="171"/>
        <v>3.9843064182194619</v>
      </c>
      <c r="I1591" s="3">
        <f t="shared" ca="1" si="172"/>
        <v>21.719139525532768</v>
      </c>
      <c r="J1591" s="3">
        <f t="shared" ca="1" si="173"/>
        <v>5.6615075552449996</v>
      </c>
      <c r="K1591" s="3">
        <f t="shared" ca="1" si="174"/>
        <v>13.472859355026449</v>
      </c>
    </row>
    <row r="1592" spans="3:11" x14ac:dyDescent="0.35">
      <c r="C1592" t="str">
        <f t="shared" ca="1" si="168"/>
        <v>2Q2026</v>
      </c>
      <c r="D1592" vm="3151">
        <f ca="1"/>
        <v>46258</v>
      </c>
      <c r="E1592" vm="3152">
        <f ca="1"/>
        <v>208.48</v>
      </c>
      <c r="F1592" s="3">
        <f t="shared" ca="1" si="169"/>
        <v>2.4715527950310561</v>
      </c>
      <c r="G1592" s="3">
        <f t="shared" ca="1" si="170"/>
        <v>9.4815734989648028</v>
      </c>
      <c r="H1592" s="3">
        <f t="shared" ca="1" si="171"/>
        <v>3.9843064182194619</v>
      </c>
      <c r="I1592" s="3">
        <f t="shared" ca="1" si="172"/>
        <v>21.087957378367509</v>
      </c>
      <c r="J1592" s="3">
        <f t="shared" ca="1" si="173"/>
        <v>5.4969779020001743</v>
      </c>
      <c r="K1592" s="3">
        <f t="shared" ca="1" si="174"/>
        <v>13.081323203874414</v>
      </c>
    </row>
    <row r="1593" spans="3:11" x14ac:dyDescent="0.35">
      <c r="C1593" t="str">
        <f t="shared" ca="1" si="168"/>
        <v>2Q2026</v>
      </c>
      <c r="D1593" vm="3153">
        <f ca="1"/>
        <v>46259</v>
      </c>
      <c r="E1593" vm="3154">
        <f ca="1"/>
        <v>213.05</v>
      </c>
      <c r="F1593" s="3">
        <f t="shared" ca="1" si="169"/>
        <v>2.4715527950310561</v>
      </c>
      <c r="G1593" s="3">
        <f t="shared" ca="1" si="170"/>
        <v>9.4815734989648028</v>
      </c>
      <c r="H1593" s="3">
        <f t="shared" ca="1" si="171"/>
        <v>3.9843064182194619</v>
      </c>
      <c r="I1593" s="3">
        <f t="shared" ca="1" si="172"/>
        <v>21.550217380377966</v>
      </c>
      <c r="J1593" s="3">
        <f t="shared" ca="1" si="173"/>
        <v>5.6174747794567219</v>
      </c>
      <c r="K1593" s="3">
        <f t="shared" ca="1" si="174"/>
        <v>13.368073237650824</v>
      </c>
    </row>
    <row r="1594" spans="3:11" x14ac:dyDescent="0.35">
      <c r="C1594" t="str">
        <f t="shared" ca="1" si="168"/>
        <v>2Q2026</v>
      </c>
      <c r="D1594" vm="3155">
        <f ca="1"/>
        <v>46260</v>
      </c>
      <c r="E1594" vm="3156">
        <f ca="1"/>
        <v>209.66</v>
      </c>
      <c r="F1594" s="3">
        <f t="shared" ca="1" si="169"/>
        <v>2.4715527950310561</v>
      </c>
      <c r="G1594" s="3">
        <f t="shared" ca="1" si="170"/>
        <v>9.4815734989648028</v>
      </c>
      <c r="H1594" s="3">
        <f t="shared" ca="1" si="171"/>
        <v>3.9843064182194619</v>
      </c>
      <c r="I1594" s="3">
        <f t="shared" ca="1" si="172"/>
        <v>21.207315540812221</v>
      </c>
      <c r="J1594" s="3">
        <f t="shared" ca="1" si="173"/>
        <v>5.5280908812996774</v>
      </c>
      <c r="K1594" s="3">
        <f t="shared" ca="1" si="174"/>
        <v>13.155363693996112</v>
      </c>
    </row>
    <row r="1595" spans="3:11" x14ac:dyDescent="0.35">
      <c r="C1595" t="str">
        <f t="shared" ca="1" si="168"/>
        <v>2Q2026</v>
      </c>
      <c r="D1595" vm="3157">
        <f ca="1"/>
        <v>46261</v>
      </c>
      <c r="E1595" vm="3158">
        <f ca="1"/>
        <v>227.98</v>
      </c>
      <c r="F1595" s="3">
        <f t="shared" ca="1" si="169"/>
        <v>2.4715527950310561</v>
      </c>
      <c r="G1595" s="3">
        <f t="shared" ca="1" si="170"/>
        <v>9.4815734989648028</v>
      </c>
      <c r="H1595" s="3">
        <f t="shared" ca="1" si="171"/>
        <v>3.9843064182194619</v>
      </c>
      <c r="I1595" s="3">
        <f t="shared" ca="1" si="172"/>
        <v>23.060401588258944</v>
      </c>
      <c r="J1595" s="3">
        <f t="shared" ca="1" si="173"/>
        <v>6.0111330683902526</v>
      </c>
      <c r="K1595" s="3">
        <f t="shared" ca="1" si="174"/>
        <v>14.304873676224524</v>
      </c>
    </row>
    <row r="1596" spans="3:11" x14ac:dyDescent="0.35">
      <c r="C1596" t="str">
        <f t="shared" ca="1" si="168"/>
        <v>2Q2026</v>
      </c>
      <c r="D1596" vm="3159">
        <f ca="1"/>
        <v>46262</v>
      </c>
      <c r="E1596" vm="3132">
        <f ca="1"/>
        <v>217.55</v>
      </c>
      <c r="F1596" s="3">
        <f t="shared" ca="1" si="169"/>
        <v>2.4715527950310561</v>
      </c>
      <c r="G1596" s="3">
        <f t="shared" ca="1" si="170"/>
        <v>9.4815734989648028</v>
      </c>
      <c r="H1596" s="3">
        <f t="shared" ca="1" si="171"/>
        <v>3.9843064182194619</v>
      </c>
      <c r="I1596" s="3">
        <f t="shared" ca="1" si="172"/>
        <v>22.005396813429833</v>
      </c>
      <c r="J1596" s="3">
        <f t="shared" ca="1" si="173"/>
        <v>5.7361259717005861</v>
      </c>
      <c r="K1596" s="3">
        <f t="shared" ca="1" si="174"/>
        <v>13.650431038962388</v>
      </c>
    </row>
    <row r="1597" spans="3:11" x14ac:dyDescent="0.35">
      <c r="C1597" t="str">
        <f t="shared" ca="1" si="168"/>
        <v>2Q2026</v>
      </c>
      <c r="D1597" vm="3160">
        <f ca="1"/>
        <v>46265</v>
      </c>
      <c r="E1597" vm="3011">
        <f ca="1"/>
        <v>220.78</v>
      </c>
      <c r="F1597" s="3">
        <f t="shared" ca="1" si="169"/>
        <v>2.4715527950310561</v>
      </c>
      <c r="G1597" s="3">
        <f t="shared" ca="1" si="170"/>
        <v>9.4815734989648028</v>
      </c>
      <c r="H1597" s="3">
        <f t="shared" ca="1" si="171"/>
        <v>3.9843064182194619</v>
      </c>
      <c r="I1597" s="3">
        <f t="shared" ca="1" si="172"/>
        <v>22.332114495375954</v>
      </c>
      <c r="J1597" s="3">
        <f t="shared" ca="1" si="173"/>
        <v>5.8212911608000706</v>
      </c>
      <c r="K1597" s="3">
        <f t="shared" ca="1" si="174"/>
        <v>13.853101194126022</v>
      </c>
    </row>
    <row r="1598" spans="3:11" x14ac:dyDescent="0.35">
      <c r="C1598" t="str">
        <f t="shared" ca="1" si="168"/>
        <v>2Q2026</v>
      </c>
      <c r="D1598" vm="3161">
        <f ca="1"/>
        <v>46266</v>
      </c>
      <c r="E1598" vm="3162">
        <f ca="1"/>
        <v>217.44</v>
      </c>
      <c r="F1598" s="3">
        <f t="shared" ca="1" si="169"/>
        <v>2.4715527950310561</v>
      </c>
      <c r="G1598" s="3">
        <f t="shared" ca="1" si="170"/>
        <v>9.4815734989648028</v>
      </c>
      <c r="H1598" s="3">
        <f t="shared" ca="1" si="171"/>
        <v>3.9843064182194619</v>
      </c>
      <c r="I1598" s="3">
        <f t="shared" ca="1" si="172"/>
        <v>21.994270205066343</v>
      </c>
      <c r="J1598" s="3">
        <f t="shared" ca="1" si="173"/>
        <v>5.7332256092235134</v>
      </c>
      <c r="K1598" s="3">
        <f t="shared" ca="1" si="174"/>
        <v>13.643528959374772</v>
      </c>
    </row>
    <row r="1599" spans="3:11" x14ac:dyDescent="0.35">
      <c r="C1599" t="str">
        <f t="shared" ca="1" si="168"/>
        <v>2Q2026</v>
      </c>
      <c r="D1599" vm="3163">
        <f ca="1"/>
        <v>46267</v>
      </c>
      <c r="E1599" vm="3164">
        <f ca="1"/>
        <v>224.41</v>
      </c>
      <c r="F1599" s="3">
        <f t="shared" ca="1" si="169"/>
        <v>2.4715527950310561</v>
      </c>
      <c r="G1599" s="3">
        <f t="shared" ca="1" si="170"/>
        <v>9.4815734989648028</v>
      </c>
      <c r="H1599" s="3">
        <f t="shared" ca="1" si="171"/>
        <v>3.9843064182194619</v>
      </c>
      <c r="I1599" s="3">
        <f t="shared" ca="1" si="172"/>
        <v>22.699292571371128</v>
      </c>
      <c r="J1599" s="3">
        <f t="shared" ca="1" si="173"/>
        <v>5.9170031225434538</v>
      </c>
      <c r="K1599" s="3">
        <f t="shared" ca="1" si="174"/>
        <v>14.08086982051735</v>
      </c>
    </row>
    <row r="1600" spans="3:11" x14ac:dyDescent="0.35">
      <c r="C1600" t="str">
        <f t="shared" ca="1" si="168"/>
        <v>2Q2026</v>
      </c>
      <c r="D1600" vm="3165">
        <f ca="1"/>
        <v>46268</v>
      </c>
      <c r="E1600" vm="3166">
        <f ca="1"/>
        <v>228.45</v>
      </c>
      <c r="F1600" s="3">
        <f t="shared" ca="1" si="169"/>
        <v>2.4715527950310561</v>
      </c>
      <c r="G1600" s="3">
        <f t="shared" ca="1" si="170"/>
        <v>9.4815734989648028</v>
      </c>
      <c r="H1600" s="3">
        <f t="shared" ca="1" si="171"/>
        <v>3.9843064182194619</v>
      </c>
      <c r="I1600" s="3">
        <f t="shared" ca="1" si="172"/>
        <v>23.107942551266582</v>
      </c>
      <c r="J1600" s="3">
        <f t="shared" ca="1" si="173"/>
        <v>6.0235255262468339</v>
      </c>
      <c r="K1600" s="3">
        <f t="shared" ca="1" si="174"/>
        <v>14.334364379917064</v>
      </c>
    </row>
    <row r="1601" spans="3:11" x14ac:dyDescent="0.35">
      <c r="C1601" t="str">
        <f t="shared" ca="1" si="168"/>
        <v>2Q2026</v>
      </c>
      <c r="D1601" vm="3167">
        <f ca="1"/>
        <v>46269</v>
      </c>
      <c r="E1601" vm="3168">
        <f ca="1"/>
        <v>230.36</v>
      </c>
      <c r="F1601" s="3">
        <f t="shared" ca="1" si="169"/>
        <v>2.4715527950310561</v>
      </c>
      <c r="G1601" s="3">
        <f ca="1">VLOOKUP($C1601,$M$2:$R$27,6,0)/VLOOKUP($C1601,$M$2:$R$27,3,0)</f>
        <v>9.4815734989648028</v>
      </c>
      <c r="H1601" s="3">
        <f t="shared" ca="1" si="171"/>
        <v>3.9843064182194619</v>
      </c>
      <c r="I1601" s="3">
        <f t="shared" ca="1" si="172"/>
        <v>23.301140932850824</v>
      </c>
      <c r="J1601" s="3">
        <f t="shared" ca="1" si="173"/>
        <v>6.0738863656214521</v>
      </c>
      <c r="K1601" s="3">
        <f t="shared" ca="1" si="174"/>
        <v>14.454209580029309</v>
      </c>
    </row>
    <row r="1602" spans="3:11" x14ac:dyDescent="0.35">
      <c r="D1602" vm="3169">
        <f ca="1"/>
        <v>46273</v>
      </c>
      <c r="E1602" vm="3170">
        <f ca="1"/>
        <v>225.73</v>
      </c>
    </row>
    <row r="1603" spans="3:11" x14ac:dyDescent="0.35">
      <c r="D1603" vm="3171">
        <f ca="1"/>
        <v>46274</v>
      </c>
      <c r="E1603" vm="3172">
        <f ca="1"/>
        <v>223.67</v>
      </c>
    </row>
    <row r="1604" spans="3:11" x14ac:dyDescent="0.35">
      <c r="D1604" vm="3173">
        <f ca="1"/>
        <v>46275</v>
      </c>
      <c r="E1604" vm="3174">
        <f ca="1"/>
        <v>218.36</v>
      </c>
    </row>
    <row r="1605" spans="3:11" x14ac:dyDescent="0.35">
      <c r="D1605" vm="3175">
        <f ca="1"/>
        <v>46276</v>
      </c>
      <c r="E1605" vm="3176">
        <f ca="1"/>
        <v>218.29</v>
      </c>
    </row>
    <row r="1606" spans="3:11" x14ac:dyDescent="0.35">
      <c r="D1606" vm="3177">
        <f ca="1"/>
        <v>46279</v>
      </c>
      <c r="E1606" vm="3091">
        <f ca="1"/>
        <v>210.96</v>
      </c>
    </row>
    <row r="1607" spans="3:11" x14ac:dyDescent="0.35">
      <c r="D1607" vm="3178">
        <f ca="1"/>
        <v>46280</v>
      </c>
      <c r="E1607" vm="3179">
        <f ca="1"/>
        <v>212.17</v>
      </c>
    </row>
    <row r="1608" spans="3:11" x14ac:dyDescent="0.35">
      <c r="D1608" vm="3180">
        <f ca="1"/>
        <v>46281</v>
      </c>
      <c r="E1608" vm="3181">
        <f ca="1"/>
        <v>213.9</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BA630-B8E3-4F67-9A31-F260D850701B}">
  <dimension ref="A1:T36"/>
  <sheetViews>
    <sheetView zoomScale="70" zoomScaleNormal="70" workbookViewId="0">
      <selection activeCell="H25" sqref="H25"/>
    </sheetView>
  </sheetViews>
  <sheetFormatPr defaultRowHeight="14.5" x14ac:dyDescent="0.35"/>
  <cols>
    <col min="1" max="1" width="79.26953125" customWidth="1"/>
    <col min="2" max="4" width="11.81640625" bestFit="1" customWidth="1"/>
    <col min="5" max="6" width="12.90625" bestFit="1" customWidth="1"/>
    <col min="7" max="7" width="12.90625" customWidth="1"/>
    <col min="8" max="9" width="14.54296875" bestFit="1" customWidth="1"/>
    <col min="10" max="11" width="16.453125" bestFit="1" customWidth="1"/>
    <col min="13" max="13" width="14.08984375" bestFit="1" customWidth="1"/>
    <col min="15" max="15" width="20.08984375" bestFit="1" customWidth="1"/>
    <col min="16" max="16" width="14.6328125" bestFit="1" customWidth="1"/>
  </cols>
  <sheetData>
    <row r="1" spans="1:16" ht="18.5" x14ac:dyDescent="0.45">
      <c r="A1" s="9" t="s">
        <v>80</v>
      </c>
    </row>
    <row r="2" spans="1:16" ht="17" x14ac:dyDescent="0.4">
      <c r="A2" s="22" t="s">
        <v>82</v>
      </c>
    </row>
    <row r="3" spans="1:16" ht="16" x14ac:dyDescent="0.4">
      <c r="A3" s="29" t="s">
        <v>85</v>
      </c>
      <c r="C3" s="4"/>
      <c r="D3" s="4"/>
      <c r="I3" s="4"/>
    </row>
    <row r="4" spans="1:16" ht="16" x14ac:dyDescent="0.4">
      <c r="A4" s="33" t="s">
        <v>90</v>
      </c>
      <c r="C4" s="4"/>
      <c r="D4" s="4"/>
      <c r="I4" s="4"/>
    </row>
    <row r="5" spans="1:16" ht="16" x14ac:dyDescent="0.4">
      <c r="A5" s="33" t="s">
        <v>91</v>
      </c>
      <c r="C5" s="4"/>
      <c r="D5" s="23" t="s">
        <v>83</v>
      </c>
      <c r="I5" s="24" t="s">
        <v>84</v>
      </c>
    </row>
    <row r="6" spans="1:16" ht="16" x14ac:dyDescent="0.4">
      <c r="A6" s="33"/>
      <c r="B6" s="10" t="s">
        <v>56</v>
      </c>
      <c r="C6" s="10" t="s">
        <v>57</v>
      </c>
      <c r="D6" s="10" t="s">
        <v>58</v>
      </c>
      <c r="E6" s="10" t="s">
        <v>59</v>
      </c>
      <c r="F6" s="10" t="s">
        <v>60</v>
      </c>
      <c r="G6" s="11" t="s">
        <v>61</v>
      </c>
      <c r="H6" s="11" t="s">
        <v>62</v>
      </c>
      <c r="I6" s="11" t="s">
        <v>63</v>
      </c>
      <c r="J6" s="11" t="s">
        <v>64</v>
      </c>
      <c r="K6" s="11" t="s">
        <v>65</v>
      </c>
      <c r="M6" s="10" t="s">
        <v>67</v>
      </c>
      <c r="N6" s="10" t="s">
        <v>66</v>
      </c>
      <c r="O6" s="27" t="s">
        <v>68</v>
      </c>
      <c r="P6" s="12">
        <v>4.9599999999999998E-2</v>
      </c>
    </row>
    <row r="7" spans="1:16" x14ac:dyDescent="0.35">
      <c r="A7" s="4" t="s">
        <v>38</v>
      </c>
      <c r="B7" s="6">
        <v>26914000</v>
      </c>
      <c r="C7" s="6">
        <v>26974000</v>
      </c>
      <c r="D7" s="6">
        <v>60922000</v>
      </c>
      <c r="E7" s="6">
        <v>130497000</v>
      </c>
      <c r="F7" s="6">
        <v>215938000</v>
      </c>
      <c r="G7" s="6">
        <f>F7*(1+G8)</f>
        <v>411297108.60000002</v>
      </c>
      <c r="H7" s="6">
        <f t="shared" ref="H7:K7" si="0">G7*(1+H8)</f>
        <v>677941024.10537994</v>
      </c>
      <c r="I7" s="6">
        <f t="shared" si="0"/>
        <v>884984212.86716306</v>
      </c>
      <c r="J7" s="6">
        <f t="shared" si="0"/>
        <v>1061981055.4405956</v>
      </c>
      <c r="K7" s="6">
        <f t="shared" si="0"/>
        <v>1189418782.0934672</v>
      </c>
      <c r="M7" s="31">
        <v>0.04</v>
      </c>
      <c r="N7" s="32">
        <f>P15*P9+P16*P10*(1-P11)</f>
        <v>0.14086180830879527</v>
      </c>
      <c r="O7" s="28" t="s">
        <v>69</v>
      </c>
      <c r="P7">
        <v>2.2200000000000002</v>
      </c>
    </row>
    <row r="8" spans="1:16" x14ac:dyDescent="0.35">
      <c r="A8" s="27" t="s">
        <v>39</v>
      </c>
      <c r="B8" s="5"/>
      <c r="C8" s="5">
        <f>C7/B7-1</f>
        <v>2.2293230289069932E-3</v>
      </c>
      <c r="D8" s="12">
        <f t="shared" ref="D8:F8" si="1">D7/C7-1</f>
        <v>1.2585452658115224</v>
      </c>
      <c r="E8" s="12">
        <f t="shared" si="1"/>
        <v>1.1420340763599355</v>
      </c>
      <c r="F8" s="12">
        <f t="shared" si="1"/>
        <v>0.65473535790094783</v>
      </c>
      <c r="G8" s="12">
        <v>0.90469999999999995</v>
      </c>
      <c r="H8" s="12">
        <v>0.64829999999999999</v>
      </c>
      <c r="I8" s="12">
        <v>0.3054</v>
      </c>
      <c r="J8" s="12">
        <v>0.2</v>
      </c>
      <c r="K8" s="12">
        <v>0.12</v>
      </c>
      <c r="O8" s="27" t="s">
        <v>70</v>
      </c>
      <c r="P8" s="12">
        <v>4.1399999999999999E-2</v>
      </c>
    </row>
    <row r="9" spans="1:16" x14ac:dyDescent="0.35">
      <c r="A9" s="4" t="s">
        <v>40</v>
      </c>
      <c r="B9" s="6">
        <v>10041000</v>
      </c>
      <c r="C9" s="6">
        <v>4224000</v>
      </c>
      <c r="D9" s="6">
        <v>32972000</v>
      </c>
      <c r="E9" s="6">
        <v>81453000</v>
      </c>
      <c r="F9" s="6">
        <v>130390000</v>
      </c>
      <c r="G9" s="6">
        <f>G7*G10</f>
        <v>255004207.33200002</v>
      </c>
      <c r="H9" s="6">
        <f t="shared" ref="H9:K9" si="2">H7*H10</f>
        <v>420323434.94533557</v>
      </c>
      <c r="I9" s="6">
        <f t="shared" si="2"/>
        <v>539840369.84896946</v>
      </c>
      <c r="J9" s="6">
        <f t="shared" si="2"/>
        <v>637188633.26435733</v>
      </c>
      <c r="K9" s="6">
        <f t="shared" si="2"/>
        <v>689862893.61421096</v>
      </c>
      <c r="O9" s="4" t="s">
        <v>71</v>
      </c>
      <c r="P9" s="12">
        <f>P6+P7*P8</f>
        <v>0.14150799999999999</v>
      </c>
    </row>
    <row r="10" spans="1:16" x14ac:dyDescent="0.35">
      <c r="A10" s="27" t="s">
        <v>41</v>
      </c>
      <c r="B10" s="12">
        <f>B9/B7</f>
        <v>0.37307720888756779</v>
      </c>
      <c r="C10" s="12">
        <f t="shared" ref="C10:F10" si="3">C9/C7</f>
        <v>0.1565952398606065</v>
      </c>
      <c r="D10" s="12">
        <f t="shared" si="3"/>
        <v>0.54121663766783756</v>
      </c>
      <c r="E10" s="12">
        <f t="shared" si="3"/>
        <v>0.62417526839697468</v>
      </c>
      <c r="F10" s="12">
        <f t="shared" si="3"/>
        <v>0.60383072919078629</v>
      </c>
      <c r="G10" s="12">
        <v>0.62</v>
      </c>
      <c r="H10" s="12">
        <v>0.62</v>
      </c>
      <c r="I10" s="12">
        <v>0.61</v>
      </c>
      <c r="J10" s="12">
        <v>0.6</v>
      </c>
      <c r="K10" s="12">
        <v>0.57999999999999996</v>
      </c>
      <c r="O10" s="27" t="s">
        <v>72</v>
      </c>
      <c r="P10" s="8">
        <v>0.05</v>
      </c>
    </row>
    <row r="11" spans="1:16" x14ac:dyDescent="0.35">
      <c r="A11" s="27" t="s">
        <v>55</v>
      </c>
      <c r="B11" s="12">
        <v>1.9E-2</v>
      </c>
      <c r="C11" s="12">
        <v>-4.4999999999999998E-2</v>
      </c>
      <c r="D11" s="12">
        <v>0.12</v>
      </c>
      <c r="E11" s="12">
        <v>0.13300000000000001</v>
      </c>
      <c r="F11" s="12">
        <v>0.151</v>
      </c>
      <c r="G11" s="12">
        <v>0.16500000000000001</v>
      </c>
      <c r="H11" s="12">
        <v>0.17</v>
      </c>
      <c r="I11" s="12">
        <v>0.17499999999999999</v>
      </c>
      <c r="J11" s="12">
        <v>0.18</v>
      </c>
      <c r="K11" s="12">
        <v>0.18</v>
      </c>
      <c r="O11" s="27" t="s">
        <v>55</v>
      </c>
      <c r="P11" s="12">
        <v>0.16500000000000001</v>
      </c>
    </row>
    <row r="12" spans="1:16" x14ac:dyDescent="0.35">
      <c r="A12" s="4" t="s">
        <v>42</v>
      </c>
      <c r="B12" s="6">
        <f>B9*(1-B11)</f>
        <v>9850221</v>
      </c>
      <c r="C12" s="6">
        <f t="shared" ref="C12:F12" si="4">C9*(1-C11)</f>
        <v>4414080</v>
      </c>
      <c r="D12" s="6">
        <f t="shared" si="4"/>
        <v>29015360</v>
      </c>
      <c r="E12" s="6">
        <f t="shared" si="4"/>
        <v>70619751</v>
      </c>
      <c r="F12" s="6">
        <f t="shared" si="4"/>
        <v>110701110</v>
      </c>
      <c r="G12" s="6">
        <f>G9*(1-G11)</f>
        <v>212928513.12222001</v>
      </c>
      <c r="H12" s="6">
        <f t="shared" ref="H12:K12" si="5">H9*(1-H11)</f>
        <v>348868451.00462848</v>
      </c>
      <c r="I12" s="6">
        <f t="shared" si="5"/>
        <v>445368305.12539977</v>
      </c>
      <c r="J12" s="6">
        <f t="shared" si="5"/>
        <v>522494679.27677304</v>
      </c>
      <c r="K12" s="6">
        <f t="shared" si="5"/>
        <v>565687572.76365304</v>
      </c>
      <c r="O12" s="23" t="s">
        <v>66</v>
      </c>
      <c r="P12" s="30">
        <f>P15*P9+P16*P10*(1-P11)</f>
        <v>0.14086180830879527</v>
      </c>
    </row>
    <row r="13" spans="1:16" x14ac:dyDescent="0.35">
      <c r="A13" s="4" t="s">
        <v>43</v>
      </c>
      <c r="B13" s="6">
        <v>1174000</v>
      </c>
      <c r="C13" s="6">
        <v>1544000</v>
      </c>
      <c r="D13" s="6">
        <v>1508000</v>
      </c>
      <c r="E13" s="6">
        <v>1864000</v>
      </c>
      <c r="F13" s="6">
        <v>2843000</v>
      </c>
      <c r="G13" s="6">
        <f>G7*1.4%</f>
        <v>5758159.5203999998</v>
      </c>
      <c r="H13" s="6">
        <f>H7*1.4%</f>
        <v>9491174.3374753185</v>
      </c>
      <c r="I13" s="6">
        <f>I7*1.4%</f>
        <v>12389778.980140282</v>
      </c>
      <c r="J13" s="6">
        <f>J7*1.4%</f>
        <v>14867734.776168337</v>
      </c>
      <c r="K13" s="6">
        <f>K7*1.4%</f>
        <v>16651862.949308539</v>
      </c>
      <c r="O13" s="27" t="s">
        <v>73</v>
      </c>
      <c r="P13" s="2">
        <v>5271000000</v>
      </c>
    </row>
    <row r="14" spans="1:16" x14ac:dyDescent="0.35">
      <c r="A14" s="4" t="s">
        <v>44</v>
      </c>
      <c r="B14" s="6">
        <v>976000</v>
      </c>
      <c r="C14" s="6">
        <v>1833000</v>
      </c>
      <c r="D14" s="6">
        <v>1069000</v>
      </c>
      <c r="E14" s="6">
        <v>3236000</v>
      </c>
      <c r="F14" s="6">
        <v>6042000</v>
      </c>
      <c r="G14" s="6">
        <f>G7*4%</f>
        <v>16451884.344000001</v>
      </c>
      <c r="H14" s="6">
        <f>H7*3.5%</f>
        <v>23727935.843688302</v>
      </c>
      <c r="I14" s="6">
        <f>I7*3%</f>
        <v>26549526.38601489</v>
      </c>
      <c r="J14" s="6">
        <f>J7*2.75%</f>
        <v>29204479.024616379</v>
      </c>
      <c r="K14" s="6">
        <f>K7*2.5%</f>
        <v>29735469.552336682</v>
      </c>
      <c r="O14" s="27" t="s">
        <v>74</v>
      </c>
      <c r="P14" s="2">
        <v>34366000</v>
      </c>
    </row>
    <row r="15" spans="1:16" x14ac:dyDescent="0.35">
      <c r="A15" s="4" t="s">
        <v>45</v>
      </c>
      <c r="B15" s="6">
        <v>1718000</v>
      </c>
      <c r="C15" s="6">
        <v>1178000</v>
      </c>
      <c r="D15" s="6">
        <v>4516000</v>
      </c>
      <c r="E15" s="6">
        <v>9809000</v>
      </c>
      <c r="F15" s="6">
        <v>13096000</v>
      </c>
      <c r="G15" s="6">
        <f>G7*14.5%-F7*14.77%</f>
        <v>27744038.147000004</v>
      </c>
      <c r="H15" s="6">
        <f>H7*14.5%-G7*14.5%</f>
        <v>38663367.748280086</v>
      </c>
      <c r="I15" s="6">
        <f t="shared" ref="I15:K15" si="6">I7*14.5%-H7*14.5%</f>
        <v>30021262.370458543</v>
      </c>
      <c r="J15" s="6">
        <f t="shared" si="6"/>
        <v>25664542.173147738</v>
      </c>
      <c r="K15" s="6">
        <f t="shared" si="6"/>
        <v>18478470.364666373</v>
      </c>
      <c r="O15" s="4" t="s">
        <v>75</v>
      </c>
      <c r="P15" s="12">
        <f>P13/(P13+P14)</f>
        <v>0.99352240731365182</v>
      </c>
    </row>
    <row r="16" spans="1:16" x14ac:dyDescent="0.35">
      <c r="A16" s="20" t="s">
        <v>46</v>
      </c>
      <c r="B16" s="21">
        <f>B12+B13-B14-B15</f>
        <v>8330221</v>
      </c>
      <c r="C16" s="21">
        <f t="shared" ref="C16:F16" si="7">C12+C13-C14-C15</f>
        <v>2947080</v>
      </c>
      <c r="D16" s="21">
        <f t="shared" si="7"/>
        <v>24938360</v>
      </c>
      <c r="E16" s="21">
        <f t="shared" si="7"/>
        <v>59438751</v>
      </c>
      <c r="F16" s="21">
        <f t="shared" si="7"/>
        <v>94406110</v>
      </c>
      <c r="G16" s="18">
        <f>G12+G13-G14-G15</f>
        <v>174490750.15161997</v>
      </c>
      <c r="H16" s="18">
        <f t="shared" ref="H16:K16" si="8">H12+H13-H14-H15</f>
        <v>295968321.75013536</v>
      </c>
      <c r="I16" s="18">
        <f t="shared" si="8"/>
        <v>401187295.34906662</v>
      </c>
      <c r="J16" s="18">
        <f t="shared" si="8"/>
        <v>482493392.85517722</v>
      </c>
      <c r="K16" s="18">
        <f t="shared" si="8"/>
        <v>534125495.79595852</v>
      </c>
      <c r="O16" s="4" t="s">
        <v>76</v>
      </c>
      <c r="P16" s="12">
        <f>P14/(P13+P14)</f>
        <v>6.4775926863481241E-3</v>
      </c>
    </row>
    <row r="17" spans="1:20" x14ac:dyDescent="0.35">
      <c r="A17" s="16" t="s">
        <v>81</v>
      </c>
      <c r="B17" s="17"/>
      <c r="C17" s="17"/>
      <c r="D17" s="17"/>
      <c r="E17" s="17"/>
      <c r="F17" s="17"/>
      <c r="G17" s="17"/>
      <c r="H17" s="17"/>
      <c r="I17" s="17"/>
      <c r="J17" s="17"/>
      <c r="K17" s="17"/>
      <c r="O17" s="4"/>
      <c r="P17" s="12"/>
    </row>
    <row r="18" spans="1:20" x14ac:dyDescent="0.35">
      <c r="A18" s="13" t="s">
        <v>47</v>
      </c>
      <c r="B18" s="14"/>
      <c r="C18" s="14"/>
      <c r="D18" s="14"/>
      <c r="E18" s="14"/>
      <c r="F18" s="14"/>
      <c r="G18" s="15">
        <f>1/(1+$N$7)^1</f>
        <v>0.87653034987856437</v>
      </c>
      <c r="H18" s="15">
        <f>1/(1+$N$7)^2</f>
        <v>0.76830545425823848</v>
      </c>
      <c r="I18" s="15">
        <f>1/(1+$N$7)^3</f>
        <v>0.67344304863458304</v>
      </c>
      <c r="J18" s="15">
        <f>1/(1+$N$7)^4</f>
        <v>0.59029327104295815</v>
      </c>
      <c r="K18" s="15">
        <f>1/(1+$N$7)^5</f>
        <v>0.51740996739824641</v>
      </c>
    </row>
    <row r="19" spans="1:20" x14ac:dyDescent="0.35">
      <c r="A19" s="4" t="s">
        <v>48</v>
      </c>
      <c r="G19" s="6">
        <f>G16*G18</f>
        <v>152946438.2809726</v>
      </c>
      <c r="H19" s="6">
        <f t="shared" ref="H19:K19" si="9">H16*H18</f>
        <v>227394075.88828623</v>
      </c>
      <c r="I19" s="6">
        <f t="shared" si="9"/>
        <v>270176795.25333828</v>
      </c>
      <c r="J19" s="6">
        <f t="shared" si="9"/>
        <v>284812603.12509763</v>
      </c>
      <c r="K19" s="6">
        <f t="shared" si="9"/>
        <v>276361855.36635911</v>
      </c>
    </row>
    <row r="20" spans="1:20" x14ac:dyDescent="0.35">
      <c r="A20" s="4" t="s">
        <v>49</v>
      </c>
      <c r="G20" s="7"/>
      <c r="H20" s="7"/>
      <c r="I20" s="7"/>
      <c r="J20" s="7"/>
      <c r="K20" s="6">
        <f>K16*(1+$M$7)/($N$7-$M$7)</f>
        <v>5507441567.2493696</v>
      </c>
      <c r="O20" s="56" t="s">
        <v>79</v>
      </c>
      <c r="P20" s="48"/>
      <c r="Q20" s="46" t="s">
        <v>78</v>
      </c>
      <c r="R20" s="46"/>
      <c r="S20" s="46"/>
      <c r="T20" s="58"/>
    </row>
    <row r="21" spans="1:20" x14ac:dyDescent="0.35">
      <c r="A21" s="4" t="s">
        <v>50</v>
      </c>
      <c r="K21" s="6">
        <f>SUM(G19:K19)+K20*K18</f>
        <v>4061296929.6722975</v>
      </c>
      <c r="O21" s="55">
        <f>K26</f>
        <v>170.86128073177215</v>
      </c>
      <c r="P21" s="51">
        <v>0.12</v>
      </c>
      <c r="Q21" s="51">
        <v>0.13</v>
      </c>
      <c r="R21" s="51">
        <v>0.14000000000000001</v>
      </c>
      <c r="S21" s="51">
        <v>0.15</v>
      </c>
      <c r="T21" s="51">
        <v>0.16</v>
      </c>
    </row>
    <row r="22" spans="1:20" x14ac:dyDescent="0.35">
      <c r="A22" s="4" t="s">
        <v>51</v>
      </c>
      <c r="K22" s="6">
        <v>99369000</v>
      </c>
      <c r="O22" s="52">
        <v>0.02</v>
      </c>
      <c r="P22" s="53">
        <f t="dataTable" ref="P22:T26" dt2D="1" dtr="1" r1="N7" r2="M7"/>
        <v>183.9915942115895</v>
      </c>
      <c r="Q22" s="53">
        <v>165.76624081562397</v>
      </c>
      <c r="R22" s="53">
        <v>150.62709417463705</v>
      </c>
      <c r="S22" s="53">
        <v>137.86009663344637</v>
      </c>
      <c r="T22" s="53">
        <v>126.95529523077568</v>
      </c>
    </row>
    <row r="23" spans="1:20" x14ac:dyDescent="0.35">
      <c r="A23" s="4" t="s">
        <v>52</v>
      </c>
      <c r="K23" s="25">
        <v>34366000</v>
      </c>
      <c r="O23" s="52">
        <v>0.03</v>
      </c>
      <c r="P23" s="53">
        <v>199.60909633789615</v>
      </c>
      <c r="Q23" s="53">
        <v>178.09784892790302</v>
      </c>
      <c r="R23" s="53">
        <v>160.54757763349147</v>
      </c>
      <c r="S23" s="53">
        <v>145.966164101072</v>
      </c>
      <c r="T23" s="53">
        <v>133.66684521551173</v>
      </c>
    </row>
    <row r="24" spans="1:20" x14ac:dyDescent="0.35">
      <c r="A24" s="4" t="s">
        <v>53</v>
      </c>
      <c r="K24" s="6">
        <f>K21+K22-K23</f>
        <v>4126299929.6722975</v>
      </c>
      <c r="O24" s="52">
        <v>0.04</v>
      </c>
      <c r="P24" s="53">
        <v>219.13097399577947</v>
      </c>
      <c r="Q24" s="53">
        <v>193.16981439846634</v>
      </c>
      <c r="R24" s="54">
        <v>172.45215778411679</v>
      </c>
      <c r="S24" s="53">
        <v>155.54606201735683</v>
      </c>
      <c r="T24" s="53">
        <v>141.49698686437043</v>
      </c>
    </row>
    <row r="25" spans="1:20" x14ac:dyDescent="0.35">
      <c r="A25" s="4" t="s">
        <v>54</v>
      </c>
      <c r="K25" s="2">
        <v>24150000</v>
      </c>
      <c r="O25" s="52">
        <v>0.05</v>
      </c>
      <c r="P25" s="53">
        <v>244.23053098448659</v>
      </c>
      <c r="Q25" s="53">
        <v>212.00977123667047</v>
      </c>
      <c r="R25" s="53">
        <v>187.00220019043661</v>
      </c>
      <c r="S25" s="53">
        <v>167.04193951689859</v>
      </c>
      <c r="T25" s="53">
        <v>150.75079063120347</v>
      </c>
    </row>
    <row r="26" spans="1:20" x14ac:dyDescent="0.35">
      <c r="A26" s="4" t="s">
        <v>77</v>
      </c>
      <c r="K26" s="26">
        <f>K24/K25</f>
        <v>170.86128073177215</v>
      </c>
      <c r="O26" s="52">
        <v>0.06</v>
      </c>
      <c r="P26" s="53">
        <v>277.69660696942941</v>
      </c>
      <c r="Q26" s="53">
        <v>236.23257288579009</v>
      </c>
      <c r="R26" s="53">
        <v>205.18975319833632</v>
      </c>
      <c r="S26" s="53">
        <v>181.09245646078304</v>
      </c>
      <c r="T26" s="53">
        <v>161.85535515140307</v>
      </c>
    </row>
    <row r="29" spans="1:20" x14ac:dyDescent="0.35">
      <c r="O29" s="46" t="s">
        <v>86</v>
      </c>
      <c r="P29" s="57"/>
    </row>
    <row r="30" spans="1:20" x14ac:dyDescent="0.35">
      <c r="O30" s="46" t="s">
        <v>50</v>
      </c>
      <c r="P30" s="47">
        <f>K21</f>
        <v>4061296929.6722975</v>
      </c>
    </row>
    <row r="31" spans="1:20" x14ac:dyDescent="0.35">
      <c r="O31" s="46" t="s">
        <v>87</v>
      </c>
      <c r="P31" s="47">
        <f>K22</f>
        <v>99369000</v>
      </c>
    </row>
    <row r="32" spans="1:20" x14ac:dyDescent="0.35">
      <c r="O32" s="46" t="s">
        <v>52</v>
      </c>
      <c r="P32" s="47">
        <f>K23</f>
        <v>34366000</v>
      </c>
    </row>
    <row r="33" spans="15:16" x14ac:dyDescent="0.35">
      <c r="O33" s="46" t="s">
        <v>53</v>
      </c>
      <c r="P33" s="47">
        <f>K24</f>
        <v>4126299929.6722975</v>
      </c>
    </row>
    <row r="34" spans="15:16" x14ac:dyDescent="0.35">
      <c r="O34" s="46" t="s">
        <v>77</v>
      </c>
      <c r="P34" s="48">
        <f>K26</f>
        <v>170.86128073177215</v>
      </c>
    </row>
    <row r="35" spans="15:16" x14ac:dyDescent="0.35">
      <c r="O35" s="46" t="s">
        <v>88</v>
      </c>
      <c r="P35" s="48">
        <v>212.17</v>
      </c>
    </row>
    <row r="36" spans="15:16" x14ac:dyDescent="0.35">
      <c r="O36" s="49" t="s">
        <v>89</v>
      </c>
      <c r="P36" s="50">
        <f>P34/P35-1</f>
        <v>-0.19469632496690314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8AFC-816F-4B5C-8DBB-05D480F63136}">
  <dimension ref="A1:N10"/>
  <sheetViews>
    <sheetView zoomScale="93" zoomScaleNormal="93" workbookViewId="0">
      <selection activeCell="E17" sqref="E17"/>
    </sheetView>
  </sheetViews>
  <sheetFormatPr defaultRowHeight="14.5" x14ac:dyDescent="0.35"/>
  <cols>
    <col min="1" max="1" width="23.7265625" bestFit="1" customWidth="1"/>
    <col min="8" max="8" width="13.453125" bestFit="1" customWidth="1"/>
    <col min="9" max="9" width="8.7265625" customWidth="1"/>
    <col min="10" max="10" width="11.6328125" customWidth="1"/>
    <col min="12" max="12" width="10.7265625" customWidth="1"/>
    <col min="14" max="14" width="12.1796875" bestFit="1" customWidth="1"/>
  </cols>
  <sheetData>
    <row r="1" spans="1:14" ht="16" x14ac:dyDescent="0.4">
      <c r="A1" s="36" t="s">
        <v>92</v>
      </c>
      <c r="B1" s="37"/>
      <c r="C1" s="34"/>
      <c r="I1" s="34"/>
      <c r="J1" s="34"/>
      <c r="K1" s="34"/>
    </row>
    <row r="2" spans="1:14" x14ac:dyDescent="0.35">
      <c r="A2" s="38" t="s">
        <v>93</v>
      </c>
      <c r="B2" s="39"/>
      <c r="C2" s="35"/>
      <c r="I2" s="35"/>
      <c r="J2" s="35"/>
      <c r="K2" s="35"/>
    </row>
    <row r="3" spans="1:14" x14ac:dyDescent="0.35">
      <c r="A3" s="40"/>
      <c r="B3" s="41"/>
      <c r="J3" s="60"/>
      <c r="K3" s="60"/>
      <c r="L3" s="60"/>
    </row>
    <row r="4" spans="1:14" x14ac:dyDescent="0.35">
      <c r="A4" s="40" t="s">
        <v>94</v>
      </c>
      <c r="B4" s="42">
        <f>0.25*4</f>
        <v>1</v>
      </c>
    </row>
    <row r="5" spans="1:14" x14ac:dyDescent="0.35">
      <c r="A5" s="40" t="s">
        <v>37</v>
      </c>
      <c r="B5" s="43">
        <v>0.04</v>
      </c>
    </row>
    <row r="6" spans="1:14" x14ac:dyDescent="0.35">
      <c r="A6" s="40" t="s">
        <v>95</v>
      </c>
      <c r="B6" s="43">
        <f>DCF!P9</f>
        <v>0.14150799999999999</v>
      </c>
      <c r="H6" s="8"/>
      <c r="J6" s="7"/>
      <c r="L6" s="5"/>
      <c r="N6" s="8"/>
    </row>
    <row r="7" spans="1:14" x14ac:dyDescent="0.35">
      <c r="A7" s="44" t="s">
        <v>96</v>
      </c>
      <c r="B7" s="45">
        <f>B4/(B6-B5)</f>
        <v>9.8514402805690207</v>
      </c>
    </row>
    <row r="8" spans="1:14" x14ac:dyDescent="0.35">
      <c r="J8" s="7"/>
    </row>
    <row r="10" spans="1:14" x14ac:dyDescent="0.35">
      <c r="J10" s="60"/>
      <c r="K10" s="60"/>
      <c r="L10" s="60"/>
    </row>
  </sheetData>
  <mergeCells count="2">
    <mergeCell ref="J3:L3"/>
    <mergeCell ref="J10:L1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NVDA</vt:lpstr>
      <vt:lpstr>DCF</vt:lpstr>
      <vt:lpstr>DDM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 Macukić</dc:creator>
  <cp:lastModifiedBy>Vito Macukić</cp:lastModifiedBy>
  <dcterms:created xsi:type="dcterms:W3CDTF">2026-09-10T07:49:24Z</dcterms:created>
  <dcterms:modified xsi:type="dcterms:W3CDTF">2026-09-17T11:19:21Z</dcterms:modified>
</cp:coreProperties>
</file>